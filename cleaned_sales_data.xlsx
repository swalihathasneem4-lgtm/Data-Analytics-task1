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a4c9e5cdf796/Desktop/"/>
    </mc:Choice>
  </mc:AlternateContent>
  <xr:revisionPtr revIDLastSave="0" documentId="8_{5B98D736-BFC2-4B00-B453-75863B42C80F}" xr6:coauthVersionLast="47" xr6:coauthVersionMax="47" xr10:uidLastSave="{00000000-0000-0000-0000-000000000000}"/>
  <bookViews>
    <workbookView xWindow="-98" yWindow="-98" windowWidth="19396" windowHeight="11475" activeTab="5" xr2:uid="{FB03ED34-9E02-4319-955E-96C778EA13E1}"/>
  </bookViews>
  <sheets>
    <sheet name="Sheet3" sheetId="3" r:id="rId1"/>
    <sheet name="Sheet4" sheetId="4" r:id="rId2"/>
    <sheet name="Sheet5" sheetId="6" r:id="rId3"/>
    <sheet name="Sheet6" sheetId="7" r:id="rId4"/>
    <sheet name="Sheet7" sheetId="8" r:id="rId5"/>
    <sheet name="Sheet1" sheetId="1" r:id="rId6"/>
    <sheet name="Summary" sheetId="2" r:id="rId7"/>
  </sheet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<sst xmlns="http://schemas.openxmlformats.org/spreadsheetml/2006/main" count="1565" uniqueCount="577">
  <si>
    <t>Row ID</t>
  </si>
  <si>
    <t>Region</t>
  </si>
  <si>
    <t>South</t>
  </si>
  <si>
    <t>West</t>
  </si>
  <si>
    <t>Central</t>
  </si>
  <si>
    <t>East</t>
  </si>
  <si>
    <t>Category</t>
  </si>
  <si>
    <t>Furniture</t>
  </si>
  <si>
    <t>Office Supplies</t>
  </si>
  <si>
    <t>Technology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</si>
  <si>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</si>
  <si>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</si>
  <si>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</si>
  <si>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</si>
  <si>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</si>
  <si>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</si>
  <si>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</si>
  <si>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</si>
  <si>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</si>
  <si>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</si>
  <si>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</si>
  <si>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</si>
  <si>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</si>
  <si>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</si>
  <si>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</si>
  <si>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</si>
  <si>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</si>
  <si>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</si>
  <si>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</si>
  <si>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</si>
  <si>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</si>
  <si>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</si>
  <si>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</si>
  <si>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</si>
  <si>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</si>
  <si>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</si>
  <si>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</si>
  <si>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</si>
  <si>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</si>
  <si>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</si>
  <si>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</si>
  <si>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</si>
  <si>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</si>
  <si>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</si>
  <si>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</si>
  <si>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</si>
  <si>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</si>
  <si>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</si>
  <si>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</si>
  <si>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</si>
  <si>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</si>
  <si>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</si>
  <si>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</si>
  <si>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</si>
  <si>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</si>
  <si>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</si>
  <si>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</si>
  <si>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</si>
  <si>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</si>
  <si>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</si>
  <si>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</si>
  <si>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</si>
  <si>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</si>
  <si>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</si>
  <si>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</si>
  <si>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</si>
  <si>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</si>
  <si>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</si>
  <si>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</si>
  <si>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</si>
  <si>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</si>
  <si>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</si>
  <si>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</si>
  <si>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</si>
  <si>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</si>
  <si>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</si>
  <si>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</si>
  <si>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</si>
  <si>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</si>
  <si>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</si>
  <si>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</si>
  <si>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</si>
  <si>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</si>
  <si>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</si>
  <si>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</si>
  <si>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</si>
  <si>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</si>
  <si>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</si>
  <si>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</si>
  <si>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</si>
  <si>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</si>
  <si>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</si>
  <si>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</si>
  <si>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</si>
  <si>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</si>
  <si>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</si>
  <si>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</si>
  <si>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</si>
  <si>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</si>
  <si>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</si>
  <si>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</si>
  <si>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</si>
  <si>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</si>
  <si>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</si>
  <si>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</si>
  <si>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</si>
  <si>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</si>
  <si>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</si>
  <si>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</si>
  <si>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</si>
  <si>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</si>
  <si>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</si>
  <si>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</si>
  <si>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</si>
  <si>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</si>
  <si>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</si>
  <si>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</si>
  <si>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</si>
  <si>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</si>
  <si>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</si>
  <si>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</si>
  <si>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</si>
  <si>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</si>
  <si>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</si>
  <si>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</si>
  <si>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</si>
  <si>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</si>
  <si>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</si>
  <si>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</si>
  <si>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</si>
  <si>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</si>
  <si>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</si>
  <si>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</si>
  <si>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</si>
  <si>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</si>
  <si>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</si>
  <si>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</si>
  <si>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</si>
  <si>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</si>
  <si>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</si>
  <si>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</si>
  <si>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</si>
  <si>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</si>
  <si>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</si>
  <si>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</si>
  <si>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</si>
  <si>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</si>
  <si>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</si>
  <si>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</si>
  <si>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</si>
  <si>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</si>
  <si>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</si>
  <si>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</si>
  <si>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</si>
  <si>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</si>
  <si>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</si>
  <si>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</si>
  <si>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</si>
  <si>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</si>
  <si>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</si>
  <si>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</si>
  <si>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</si>
  <si>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</si>
  <si>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</si>
  <si>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</si>
  <si>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</si>
  <si>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</si>
  <si>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</si>
  <si>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</si>
  <si>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</si>
  <si>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</si>
  <si>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</si>
  <si>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</si>
  <si>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</si>
  <si>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</si>
  <si>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</si>
  <si>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</si>
  <si>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</si>
  <si>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</si>
  <si>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</si>
  <si>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</si>
  <si>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</si>
  <si>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</si>
  <si>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</si>
  <si>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</si>
  <si>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</si>
  <si>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</si>
  <si>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</si>
  <si>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</si>
  <si>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</si>
  <si>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</si>
  <si>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</si>
  <si>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</si>
  <si>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</si>
  <si>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</si>
  <si>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</si>
  <si>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</si>
  <si>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</si>
  <si>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</si>
  <si>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</si>
  <si>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</si>
  <si>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</si>
  <si>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</si>
  <si>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</si>
  <si>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</si>
  <si>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</si>
  <si>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</si>
  <si>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</si>
  <si>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</si>
  <si>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</si>
  <si>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</si>
  <si>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</si>
  <si>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</si>
  <si>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</si>
  <si>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</si>
  <si>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</si>
  <si>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</si>
  <si>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</si>
  <si>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</si>
  <si>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</si>
  <si>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</si>
  <si>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</si>
  <si>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</si>
  <si>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</si>
  <si>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</si>
  <si>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</si>
  <si>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</si>
  <si>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</si>
  <si>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</si>
  <si>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</si>
  <si>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</si>
  <si>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</si>
  <si>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</si>
  <si>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</si>
  <si>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</si>
  <si>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</si>
  <si>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</si>
  <si>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</si>
  <si>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</si>
  <si>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</si>
  <si>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</si>
  <si>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</si>
  <si>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</si>
  <si>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</si>
  <si>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</si>
  <si>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</si>
  <si>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</si>
  <si>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</si>
  <si>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</si>
  <si>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</si>
  <si>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</si>
  <si>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</si>
  <si>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</si>
  <si>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</si>
  <si>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</si>
  <si>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</si>
  <si>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</si>
  <si>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</si>
  <si>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</si>
  <si>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</si>
  <si>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</si>
  <si>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</si>
  <si>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</si>
  <si>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</si>
  <si>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</si>
  <si>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</si>
  <si>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</si>
  <si>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</si>
  <si>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</si>
  <si>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</si>
  <si>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</si>
  <si>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</si>
  <si>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</si>
  <si>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</si>
  <si>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</si>
  <si>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</si>
  <si>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</si>
  <si>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</si>
  <si>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</si>
  <si>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</si>
  <si>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</si>
  <si>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</si>
  <si>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</si>
  <si>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</si>
  <si>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</si>
  <si>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Sales</t>
  </si>
  <si>
    <t>Quantity</t>
  </si>
  <si>
    <t>Profit</t>
  </si>
  <si>
    <t>Order ID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</si>
  <si>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</si>
  <si>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</si>
  <si>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</si>
  <si>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</si>
  <si>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</si>
  <si>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</si>
  <si>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</si>
  <si>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</si>
  <si>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</si>
  <si>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</si>
  <si>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</si>
  <si>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</si>
  <si>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</si>
  <si>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</si>
  <si>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</si>
  <si>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</si>
  <si>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</si>
  <si>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</si>
  <si>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</si>
  <si>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</si>
  <si>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</si>
  <si>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</si>
  <si>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</si>
  <si>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</si>
  <si>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</si>
  <si>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</si>
  <si>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</si>
  <si>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</si>
  <si>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</si>
  <si>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</si>
  <si>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</si>
  <si>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</si>
  <si>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</si>
  <si>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</si>
  <si>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</si>
  <si>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</si>
  <si>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</si>
  <si>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</si>
  <si>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</si>
  <si>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</si>
  <si>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</si>
  <si>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</si>
  <si>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</si>
  <si>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</si>
  <si>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</si>
  <si>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</si>
  <si>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</si>
  <si>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</si>
  <si>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</si>
  <si>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</si>
  <si>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</si>
  <si>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</si>
  <si>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</si>
  <si>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</si>
  <si>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</si>
  <si>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</si>
  <si>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</si>
  <si>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</si>
  <si>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</si>
  <si>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</si>
  <si>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</si>
  <si>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</si>
  <si>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</si>
  <si>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</si>
  <si>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</si>
  <si>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</si>
  <si>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</si>
  <si>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</si>
  <si>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</si>
  <si>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</si>
  <si>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</si>
  <si>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</si>
  <si>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</si>
  <si>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</si>
  <si>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</si>
  <si>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</si>
  <si>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</si>
  <si>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</si>
  <si>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</si>
  <si>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</si>
  <si>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</si>
  <si>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</si>
  <si>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</si>
  <si>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</si>
  <si>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</si>
  <si>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</si>
  <si>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</si>
  <si>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</si>
  <si>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</si>
  <si>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</si>
  <si>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</si>
  <si>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</si>
  <si>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</si>
  <si>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</si>
  <si>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</si>
  <si>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</si>
  <si>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</si>
  <si>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</si>
  <si>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</si>
  <si>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</si>
  <si>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</si>
  <si>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</si>
  <si>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</si>
  <si>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</si>
  <si>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</si>
  <si>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</si>
  <si>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</si>
  <si>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</si>
  <si>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</si>
  <si>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</si>
  <si>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</si>
  <si>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</si>
  <si>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</si>
  <si>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</si>
  <si>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</si>
  <si>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</si>
  <si>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</si>
  <si>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</si>
  <si>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</si>
  <si>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</si>
  <si>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</si>
  <si>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</si>
  <si>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</si>
  <si>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</si>
  <si>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</si>
  <si>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</si>
  <si>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</si>
  <si>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</si>
  <si>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</si>
  <si>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</si>
  <si>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</si>
  <si>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</si>
  <si>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</si>
  <si>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</si>
  <si>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</si>
  <si>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</si>
  <si>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</si>
  <si>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Order Date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</si>
  <si>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</si>
  <si>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</si>
  <si>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</si>
  <si>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</si>
  <si>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</si>
  <si>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</si>
  <si>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</si>
  <si>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</si>
  <si>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</si>
  <si>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</si>
  <si>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</si>
  <si>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</si>
  <si>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</si>
  <si>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</si>
  <si>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</si>
  <si>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</si>
  <si>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</si>
  <si>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</si>
  <si>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</si>
  <si>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</si>
  <si>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</si>
  <si>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</si>
  <si>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</si>
  <si>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</si>
  <si>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</si>
  <si>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</si>
  <si>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</si>
  <si>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</si>
  <si>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</si>
  <si>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</si>
  <si>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</si>
  <si>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</si>
  <si>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</si>
  <si>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</si>
  <si>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</si>
  <si>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</si>
  <si>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</si>
  <si>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</si>
  <si>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</si>
  <si>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</si>
  <si>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</si>
  <si>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</si>
  <si>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</si>
  <si>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</si>
  <si>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</si>
  <si>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</si>
  <si>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</si>
  <si>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</si>
  <si>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</si>
  <si>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</si>
  <si>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</si>
  <si>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</si>
  <si>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</si>
  <si>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</si>
  <si>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</si>
  <si>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</si>
  <si>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</si>
  <si>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</si>
  <si>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</si>
  <si>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</si>
  <si>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</si>
  <si>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</si>
  <si>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</si>
  <si>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</si>
  <si>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</si>
  <si>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</si>
  <si>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</si>
  <si>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</si>
  <si>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</si>
  <si>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</si>
  <si>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</si>
  <si>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</si>
  <si>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</si>
  <si>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</si>
  <si>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</si>
  <si>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</si>
  <si>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</si>
  <si>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</si>
  <si>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</si>
  <si>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</si>
  <si>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</si>
  <si>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</si>
  <si>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</si>
  <si>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</si>
  <si>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</si>
  <si>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</si>
  <si>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</si>
  <si>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</si>
  <si>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</si>
  <si>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</si>
  <si>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</si>
  <si>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</si>
  <si>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</si>
  <si>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</si>
  <si>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</si>
  <si>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</si>
  <si>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</si>
  <si>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</si>
  <si>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</si>
  <si>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</si>
  <si>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</si>
  <si>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</si>
  <si>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</si>
  <si>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</si>
  <si>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</si>
  <si>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</si>
  <si>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</si>
  <si>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</si>
  <si>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</si>
  <si>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</si>
  <si>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</si>
  <si>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</si>
  <si>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</si>
  <si>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</si>
  <si>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</si>
  <si>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</si>
  <si>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</si>
  <si>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</si>
  <si>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</si>
  <si>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</si>
  <si>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</si>
  <si>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</si>
  <si>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</si>
  <si>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</si>
  <si>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</si>
  <si>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</si>
  <si>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</si>
  <si>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</si>
  <si>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Discount</t>
  </si>
  <si>
    <t>Total Sales</t>
  </si>
  <si>
    <t>Total Profit</t>
  </si>
  <si>
    <t>Total Orders</t>
  </si>
  <si>
    <t>Average Order Value</t>
  </si>
  <si>
    <t>Total Quantity Sold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</si>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</sst>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quotePrefix="1"/>
    <xf numFmtId="14" fontId="1" fillId="0" borderId="0" xfId="1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BAF95F69-4842-4572-8ED3-17C133E7B2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 god" refreshedDate="46194.620771064816" createdVersion="8" refreshedVersion="8" minRefreshableVersion="3" recordCount="300" xr:uid="{383618F2-F01C-4D2B-B07D-1363A538D27D}">
  <cacheSource type="worksheet">
    <worksheetSource ref="A1:K301" sheet="Sheet1"/>
  </cacheSource>
  <cacheFields count="14">
    <cacheField name="Row ID" numFmtId="0">
      <sharedItems containsSemiMixedTypes="0" containsString="0" containsNumber="1" containsInteger="1" minValue="1" maxValue="300"/>
    </cacheField>
    <cacheField name="Order ID" numFmtId="0">
      <sharedItems/>
    </cacheField>
    <cacheField name="Order Date" numFmtId="14">
      <sharedItems containsSemiMixedTypes="0" containsNonDate="0" containsDate="1" containsString="0" minDate="2015-03-01T00:00:00" maxDate="2018-12-29T00:00:00" count="123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</sharedItems>
      <fieldGroup par="13"/>
    </cacheField>
    <cacheField name="Customer Name" numFmtId="0">
      <sharedItems count="127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Product Name" numFmtId="0">
      <sharedItems count="27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</sharedItems>
    </cacheField>
    <cacheField name="Sales" numFmtId="0">
      <sharedItems containsSemiMixedTypes="0" containsString="0" containsNumber="1" minValue="1.2479999999999998" maxValue="8159.95199999999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1665.0522000000001" maxValue="636.0002999999997"/>
    </cacheField>
    <cacheField name="Discount" numFmtId="0">
      <sharedItems containsSemiMixedTypes="0" containsString="0" containsNumber="1" minValue="0" maxValue="0.8"/>
    </cacheField>
    <cacheField name="Months (Order Date)" numFmtId="0" databaseField="0">
      <fieldGroup base="2">
        <rangePr groupBy="months" startDate="2015-03-01T00:00:00" endDate="2018-12-29T00:00:00"/>
        <groupItems count="14">
          <s v="&lt;01-03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18"/>
        </groupItems>
      </fieldGroup>
    </cacheField>
    <cacheField name="Quarters (Order Date)" numFmtId="0" databaseField="0">
      <fieldGroup base="2">
        <rangePr groupBy="quarters" startDate="2015-03-01T00:00:00" endDate="2018-12-29T00:00:00"/>
        <groupItems count="6">
          <s v="&lt;01-03-2015"/>
          <s v="Qtr1"/>
          <s v="Qtr2"/>
          <s v="Qtr3"/>
          <s v="Qtr4"/>
          <s v="&gt;29-12-2018"/>
        </groupItems>
      </fieldGroup>
    </cacheField>
    <cacheField name="Years (Order Date)" numFmtId="0" databaseField="0">
      <fieldGroup base="2">
        <rangePr groupBy="years" startDate="2015-03-01T00:00:00" endDate="2018-12-29T00:00:00"/>
        <groupItems count="6">
          <s v="&lt;01-03-2015"/>
          <s v="2015"/>
          <s v="2016"/>
          <s v="2017"/>
          <s v="2018"/>
          <s v="&gt;29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CA-2017-152156"/>
    <x v="0"/>
    <x v="0"/>
    <x v="0"/>
    <x v="0"/>
    <x v="0"/>
    <n v="261.95999999999998"/>
    <n v="2"/>
    <n v="41.913600000000002"/>
    <n v="0"/>
  </r>
  <r>
    <n v="2"/>
    <s v="CA-2017-152156"/>
    <x v="0"/>
    <x v="0"/>
    <x v="0"/>
    <x v="0"/>
    <x v="1"/>
    <n v="731.93999999999994"/>
    <n v="3"/>
    <n v="219.58199999999997"/>
    <n v="0"/>
  </r>
  <r>
    <n v="3"/>
    <s v="CA-2017-138688"/>
    <x v="1"/>
    <x v="1"/>
    <x v="1"/>
    <x v="1"/>
    <x v="2"/>
    <n v="14.62"/>
    <n v="2"/>
    <n v="6.8713999999999995"/>
    <n v="0"/>
  </r>
  <r>
    <n v="4"/>
    <s v="US-2016-108966"/>
    <x v="2"/>
    <x v="2"/>
    <x v="0"/>
    <x v="0"/>
    <x v="3"/>
    <n v="957.57749999999999"/>
    <n v="5"/>
    <n v="-383.03100000000006"/>
    <n v="0.45"/>
  </r>
  <r>
    <n v="5"/>
    <s v="US-2016-108966"/>
    <x v="2"/>
    <x v="2"/>
    <x v="0"/>
    <x v="1"/>
    <x v="4"/>
    <n v="22.368000000000002"/>
    <n v="2"/>
    <n v="2.5163999999999991"/>
    <n v="0.2"/>
  </r>
  <r>
    <n v="6"/>
    <s v="CA-2015-115812"/>
    <x v="3"/>
    <x v="3"/>
    <x v="1"/>
    <x v="0"/>
    <x v="5"/>
    <n v="48.86"/>
    <n v="7"/>
    <n v="14.169399999999996"/>
    <n v="0"/>
  </r>
  <r>
    <n v="7"/>
    <s v="CA-2015-115812"/>
    <x v="3"/>
    <x v="3"/>
    <x v="1"/>
    <x v="1"/>
    <x v="6"/>
    <n v="7.28"/>
    <n v="4"/>
    <n v="1.9656000000000002"/>
    <n v="0"/>
  </r>
  <r>
    <n v="8"/>
    <s v="CA-2015-115812"/>
    <x v="3"/>
    <x v="3"/>
    <x v="1"/>
    <x v="2"/>
    <x v="7"/>
    <n v="907.15200000000004"/>
    <n v="6"/>
    <n v="90.715200000000038"/>
    <n v="0.2"/>
  </r>
  <r>
    <n v="9"/>
    <s v="CA-2015-115812"/>
    <x v="3"/>
    <x v="3"/>
    <x v="1"/>
    <x v="1"/>
    <x v="8"/>
    <n v="18.504000000000001"/>
    <n v="3"/>
    <n v="5.7824999999999998"/>
    <n v="0.2"/>
  </r>
  <r>
    <n v="10"/>
    <s v="CA-2015-115812"/>
    <x v="3"/>
    <x v="3"/>
    <x v="1"/>
    <x v="1"/>
    <x v="9"/>
    <n v="114.9"/>
    <n v="5"/>
    <n v="34.469999999999992"/>
    <n v="0"/>
  </r>
  <r>
    <n v="11"/>
    <s v="CA-2015-115812"/>
    <x v="3"/>
    <x v="3"/>
    <x v="1"/>
    <x v="0"/>
    <x v="10"/>
    <n v="1706.1840000000002"/>
    <n v="9"/>
    <n v="85.309199999999805"/>
    <n v="0.2"/>
  </r>
  <r>
    <n v="12"/>
    <s v="CA-2015-115812"/>
    <x v="3"/>
    <x v="3"/>
    <x v="1"/>
    <x v="2"/>
    <x v="11"/>
    <n v="911.42399999999998"/>
    <n v="4"/>
    <n v="68.356800000000021"/>
    <n v="0.2"/>
  </r>
  <r>
    <n v="13"/>
    <s v="CA-2018-114412"/>
    <x v="4"/>
    <x v="4"/>
    <x v="0"/>
    <x v="1"/>
    <x v="12"/>
    <n v="15.552000000000003"/>
    <n v="3"/>
    <n v="5.4432"/>
    <n v="0.2"/>
  </r>
  <r>
    <n v="14"/>
    <s v="CA-2017-161389"/>
    <x v="5"/>
    <x v="5"/>
    <x v="1"/>
    <x v="1"/>
    <x v="13"/>
    <n v="407.97600000000006"/>
    <n v="3"/>
    <n v="132.59219999999993"/>
    <n v="0.2"/>
  </r>
  <r>
    <n v="15"/>
    <s v="US-2016-118983"/>
    <x v="6"/>
    <x v="6"/>
    <x v="2"/>
    <x v="1"/>
    <x v="14"/>
    <n v="68.809999999999988"/>
    <n v="5"/>
    <n v="-123.858"/>
    <n v="0.8"/>
  </r>
  <r>
    <n v="16"/>
    <s v="US-2016-118983"/>
    <x v="6"/>
    <x v="6"/>
    <x v="2"/>
    <x v="1"/>
    <x v="15"/>
    <n v="2.5439999999999996"/>
    <n v="3"/>
    <n v="-3.8160000000000016"/>
    <n v="0.8"/>
  </r>
  <r>
    <n v="17"/>
    <s v="CA-2015-105893"/>
    <x v="7"/>
    <x v="7"/>
    <x v="2"/>
    <x v="1"/>
    <x v="16"/>
    <n v="665.88"/>
    <n v="6"/>
    <n v="13.317599999999999"/>
    <n v="0"/>
  </r>
  <r>
    <n v="18"/>
    <s v="CA-2015-167164"/>
    <x v="8"/>
    <x v="8"/>
    <x v="1"/>
    <x v="1"/>
    <x v="17"/>
    <n v="55.5"/>
    <n v="2"/>
    <n v="9.9899999999999949"/>
    <n v="0"/>
  </r>
  <r>
    <n v="19"/>
    <s v="CA-2015-143336"/>
    <x v="9"/>
    <x v="9"/>
    <x v="1"/>
    <x v="1"/>
    <x v="18"/>
    <n v="8.56"/>
    <n v="2"/>
    <n v="2.4823999999999993"/>
    <n v="0"/>
  </r>
  <r>
    <n v="20"/>
    <s v="CA-2015-143336"/>
    <x v="9"/>
    <x v="9"/>
    <x v="1"/>
    <x v="2"/>
    <x v="19"/>
    <n v="213.48000000000002"/>
    <n v="3"/>
    <n v="16.010999999999981"/>
    <n v="0.2"/>
  </r>
  <r>
    <n v="21"/>
    <s v="CA-2015-143336"/>
    <x v="9"/>
    <x v="9"/>
    <x v="1"/>
    <x v="1"/>
    <x v="20"/>
    <n v="22.72"/>
    <n v="4"/>
    <n v="7.3839999999999986"/>
    <n v="0.2"/>
  </r>
  <r>
    <n v="22"/>
    <s v="CA-2017-137330"/>
    <x v="10"/>
    <x v="10"/>
    <x v="2"/>
    <x v="1"/>
    <x v="21"/>
    <n v="19.459999999999997"/>
    <n v="7"/>
    <n v="5.0595999999999997"/>
    <n v="0"/>
  </r>
  <r>
    <n v="23"/>
    <s v="CA-2017-137330"/>
    <x v="10"/>
    <x v="10"/>
    <x v="2"/>
    <x v="1"/>
    <x v="22"/>
    <n v="60.339999999999996"/>
    <n v="7"/>
    <n v="15.688400000000001"/>
    <n v="0"/>
  </r>
  <r>
    <n v="24"/>
    <s v="US-2018-156909"/>
    <x v="11"/>
    <x v="11"/>
    <x v="3"/>
    <x v="0"/>
    <x v="23"/>
    <n v="71.371999999999986"/>
    <n v="2"/>
    <n v="-1.0196000000000005"/>
    <n v="0.3"/>
  </r>
  <r>
    <n v="25"/>
    <s v="CA-2016-106320"/>
    <x v="12"/>
    <x v="12"/>
    <x v="1"/>
    <x v="0"/>
    <x v="3"/>
    <n v="1044.6299999999999"/>
    <n v="3"/>
    <n v="240.26490000000001"/>
    <n v="0"/>
  </r>
  <r>
    <n v="26"/>
    <s v="CA-2017-121755"/>
    <x v="13"/>
    <x v="13"/>
    <x v="1"/>
    <x v="1"/>
    <x v="24"/>
    <n v="11.648000000000001"/>
    <n v="2"/>
    <n v="4.2224000000000004"/>
    <n v="0.2"/>
  </r>
  <r>
    <n v="27"/>
    <s v="CA-2017-121755"/>
    <x v="13"/>
    <x v="13"/>
    <x v="1"/>
    <x v="2"/>
    <x v="25"/>
    <n v="90.570000000000007"/>
    <n v="3"/>
    <n v="11.774100000000004"/>
    <n v="0"/>
  </r>
  <r>
    <n v="28"/>
    <s v="US-2016-150630"/>
    <x v="14"/>
    <x v="14"/>
    <x v="3"/>
    <x v="0"/>
    <x v="26"/>
    <n v="3083.4300000000003"/>
    <n v="7"/>
    <n v="-1665.0522000000001"/>
    <n v="0.5"/>
  </r>
  <r>
    <n v="29"/>
    <s v="US-2016-150630"/>
    <x v="14"/>
    <x v="14"/>
    <x v="3"/>
    <x v="1"/>
    <x v="27"/>
    <n v="9.6180000000000021"/>
    <n v="2"/>
    <n v="-7.0532000000000004"/>
    <n v="0.7"/>
  </r>
  <r>
    <n v="30"/>
    <s v="US-2016-150630"/>
    <x v="14"/>
    <x v="14"/>
    <x v="3"/>
    <x v="0"/>
    <x v="28"/>
    <n v="124.20000000000002"/>
    <n v="3"/>
    <n v="15.524999999999991"/>
    <n v="0.2"/>
  </r>
  <r>
    <n v="31"/>
    <s v="US-2016-150630"/>
    <x v="14"/>
    <x v="14"/>
    <x v="3"/>
    <x v="1"/>
    <x v="29"/>
    <n v="3.2640000000000002"/>
    <n v="2"/>
    <n v="1.1015999999999997"/>
    <n v="0.2"/>
  </r>
  <r>
    <n v="32"/>
    <s v="US-2016-150630"/>
    <x v="14"/>
    <x v="14"/>
    <x v="3"/>
    <x v="1"/>
    <x v="30"/>
    <n v="86.304000000000002"/>
    <n v="6"/>
    <n v="9.7091999999999885"/>
    <n v="0.2"/>
  </r>
  <r>
    <n v="33"/>
    <s v="US-2016-150630"/>
    <x v="14"/>
    <x v="14"/>
    <x v="3"/>
    <x v="1"/>
    <x v="31"/>
    <n v="6.8580000000000014"/>
    <n v="6"/>
    <n v="-5.7149999999999999"/>
    <n v="0.7"/>
  </r>
  <r>
    <n v="34"/>
    <s v="US-2016-150630"/>
    <x v="14"/>
    <x v="14"/>
    <x v="3"/>
    <x v="1"/>
    <x v="32"/>
    <n v="15.76"/>
    <n v="2"/>
    <n v="3.5460000000000007"/>
    <n v="0.2"/>
  </r>
  <r>
    <n v="35"/>
    <s v="CA-2018-107727"/>
    <x v="15"/>
    <x v="15"/>
    <x v="2"/>
    <x v="1"/>
    <x v="33"/>
    <n v="29.472000000000001"/>
    <n v="3"/>
    <n v="9.9467999999999979"/>
    <n v="0.2"/>
  </r>
  <r>
    <n v="36"/>
    <s v="CA-2017-117590"/>
    <x v="16"/>
    <x v="16"/>
    <x v="2"/>
    <x v="2"/>
    <x v="34"/>
    <n v="1097.5440000000003"/>
    <n v="7"/>
    <n v="123.47369999999989"/>
    <n v="0.2"/>
  </r>
  <r>
    <n v="37"/>
    <s v="CA-2017-117590"/>
    <x v="16"/>
    <x v="16"/>
    <x v="2"/>
    <x v="0"/>
    <x v="35"/>
    <n v="190.92"/>
    <n v="5"/>
    <n v="-147.96300000000002"/>
    <n v="0.6"/>
  </r>
  <r>
    <n v="38"/>
    <s v="CA-2016-117415"/>
    <x v="17"/>
    <x v="17"/>
    <x v="2"/>
    <x v="1"/>
    <x v="36"/>
    <n v="113.328"/>
    <n v="9"/>
    <n v="35.414999999999999"/>
    <n v="0.2"/>
  </r>
  <r>
    <n v="39"/>
    <s v="CA-2016-117415"/>
    <x v="17"/>
    <x v="17"/>
    <x v="2"/>
    <x v="0"/>
    <x v="37"/>
    <n v="532.39919999999995"/>
    <n v="3"/>
    <n v="-46.976400000000012"/>
    <n v="0.32"/>
  </r>
  <r>
    <n v="40"/>
    <s v="CA-2016-117415"/>
    <x v="17"/>
    <x v="17"/>
    <x v="2"/>
    <x v="0"/>
    <x v="38"/>
    <n v="212.05799999999999"/>
    <n v="3"/>
    <n v="-15.146999999999991"/>
    <n v="0.3"/>
  </r>
  <r>
    <n v="41"/>
    <s v="CA-2016-117415"/>
    <x v="17"/>
    <x v="17"/>
    <x v="2"/>
    <x v="2"/>
    <x v="39"/>
    <n v="371.16800000000001"/>
    <n v="4"/>
    <n v="41.756399999999957"/>
    <n v="0.2"/>
  </r>
  <r>
    <n v="42"/>
    <s v="CA-2018-120999"/>
    <x v="18"/>
    <x v="18"/>
    <x v="2"/>
    <x v="2"/>
    <x v="40"/>
    <n v="147.16800000000001"/>
    <n v="4"/>
    <n v="16.556399999999996"/>
    <n v="0.2"/>
  </r>
  <r>
    <n v="43"/>
    <s v="CA-2017-101343"/>
    <x v="19"/>
    <x v="19"/>
    <x v="1"/>
    <x v="1"/>
    <x v="41"/>
    <n v="77.88"/>
    <n v="2"/>
    <n v="3.8939999999999912"/>
    <n v="0"/>
  </r>
  <r>
    <n v="44"/>
    <s v="CA-2018-139619"/>
    <x v="20"/>
    <x v="20"/>
    <x v="0"/>
    <x v="1"/>
    <x v="42"/>
    <n v="95.616"/>
    <n v="2"/>
    <n v="9.5616000000000092"/>
    <n v="0.2"/>
  </r>
  <r>
    <n v="45"/>
    <s v="CA-2017-118255"/>
    <x v="21"/>
    <x v="21"/>
    <x v="2"/>
    <x v="2"/>
    <x v="43"/>
    <n v="45.98"/>
    <n v="2"/>
    <n v="19.7714"/>
    <n v="0"/>
  </r>
  <r>
    <n v="46"/>
    <s v="CA-2017-118255"/>
    <x v="21"/>
    <x v="21"/>
    <x v="2"/>
    <x v="1"/>
    <x v="44"/>
    <n v="17.46"/>
    <n v="2"/>
    <n v="8.2061999999999991"/>
    <n v="0"/>
  </r>
  <r>
    <n v="47"/>
    <s v="CA-2015-146703"/>
    <x v="22"/>
    <x v="22"/>
    <x v="2"/>
    <x v="1"/>
    <x v="45"/>
    <n v="211.96"/>
    <n v="4"/>
    <n v="8.4783999999999935"/>
    <n v="0"/>
  </r>
  <r>
    <n v="48"/>
    <s v="CA-2017-169194"/>
    <x v="23"/>
    <x v="23"/>
    <x v="3"/>
    <x v="2"/>
    <x v="46"/>
    <n v="45"/>
    <n v="3"/>
    <n v="4.9500000000000011"/>
    <n v="0"/>
  </r>
  <r>
    <n v="49"/>
    <s v="CA-2017-169194"/>
    <x v="23"/>
    <x v="23"/>
    <x v="3"/>
    <x v="2"/>
    <x v="47"/>
    <n v="21.8"/>
    <n v="2"/>
    <n v="6.104000000000001"/>
    <n v="0"/>
  </r>
  <r>
    <n v="50"/>
    <s v="CA-2016-115742"/>
    <x v="24"/>
    <x v="24"/>
    <x v="2"/>
    <x v="1"/>
    <x v="48"/>
    <n v="38.22"/>
    <n v="6"/>
    <n v="17.9634"/>
    <n v="0"/>
  </r>
  <r>
    <n v="51"/>
    <s v="CA-2016-115742"/>
    <x v="24"/>
    <x v="24"/>
    <x v="2"/>
    <x v="1"/>
    <x v="49"/>
    <n v="75.179999999999993"/>
    <n v="6"/>
    <n v="35.334599999999995"/>
    <n v="0"/>
  </r>
  <r>
    <n v="52"/>
    <s v="CA-2016-115742"/>
    <x v="24"/>
    <x v="24"/>
    <x v="2"/>
    <x v="0"/>
    <x v="50"/>
    <n v="6.16"/>
    <n v="2"/>
    <n v="2.9567999999999999"/>
    <n v="0"/>
  </r>
  <r>
    <n v="53"/>
    <s v="CA-2016-115742"/>
    <x v="24"/>
    <x v="24"/>
    <x v="2"/>
    <x v="0"/>
    <x v="51"/>
    <n v="89.99"/>
    <n v="1"/>
    <n v="17.098099999999988"/>
    <n v="0"/>
  </r>
  <r>
    <n v="54"/>
    <s v="CA-2017-105816"/>
    <x v="25"/>
    <x v="25"/>
    <x v="3"/>
    <x v="1"/>
    <x v="52"/>
    <n v="15.260000000000002"/>
    <n v="7"/>
    <n v="6.2566000000000006"/>
    <n v="0"/>
  </r>
  <r>
    <n v="55"/>
    <s v="CA-2017-105816"/>
    <x v="25"/>
    <x v="25"/>
    <x v="3"/>
    <x v="2"/>
    <x v="53"/>
    <n v="1029.95"/>
    <n v="5"/>
    <n v="298.68549999999999"/>
    <n v="0"/>
  </r>
  <r>
    <n v="56"/>
    <s v="CA-2017-111682"/>
    <x v="26"/>
    <x v="26"/>
    <x v="3"/>
    <x v="1"/>
    <x v="54"/>
    <n v="208.56"/>
    <n v="6"/>
    <n v="52.139999999999986"/>
    <n v="0"/>
  </r>
  <r>
    <n v="57"/>
    <s v="CA-2017-111682"/>
    <x v="26"/>
    <x v="26"/>
    <x v="3"/>
    <x v="1"/>
    <x v="55"/>
    <n v="32.400000000000006"/>
    <n v="5"/>
    <n v="15.552000000000001"/>
    <n v="0"/>
  </r>
  <r>
    <n v="58"/>
    <s v="CA-2017-111682"/>
    <x v="26"/>
    <x v="26"/>
    <x v="3"/>
    <x v="0"/>
    <x v="56"/>
    <n v="319.41000000000003"/>
    <n v="5"/>
    <n v="7.0980000000000061"/>
    <n v="0.1"/>
  </r>
  <r>
    <n v="59"/>
    <s v="CA-2017-111682"/>
    <x v="26"/>
    <x v="26"/>
    <x v="3"/>
    <x v="1"/>
    <x v="57"/>
    <n v="14.56"/>
    <n v="2"/>
    <n v="6.9888000000000003"/>
    <n v="0"/>
  </r>
  <r>
    <n v="60"/>
    <s v="CA-2017-111682"/>
    <x v="26"/>
    <x v="26"/>
    <x v="3"/>
    <x v="2"/>
    <x v="46"/>
    <n v="30"/>
    <n v="2"/>
    <n v="3.3000000000000007"/>
    <n v="0"/>
  </r>
  <r>
    <n v="61"/>
    <s v="CA-2017-111682"/>
    <x v="26"/>
    <x v="26"/>
    <x v="3"/>
    <x v="1"/>
    <x v="58"/>
    <n v="48.480000000000004"/>
    <n v="4"/>
    <n v="16.361999999999998"/>
    <n v="0.2"/>
  </r>
  <r>
    <n v="62"/>
    <s v="CA-2017-111682"/>
    <x v="26"/>
    <x v="26"/>
    <x v="3"/>
    <x v="1"/>
    <x v="59"/>
    <n v="1.68"/>
    <n v="1"/>
    <n v="0.84"/>
    <n v="0"/>
  </r>
  <r>
    <n v="63"/>
    <s v="CA-2016-135545"/>
    <x v="27"/>
    <x v="27"/>
    <x v="1"/>
    <x v="2"/>
    <x v="60"/>
    <n v="13.98"/>
    <n v="2"/>
    <n v="6.1512000000000011"/>
    <n v="0"/>
  </r>
  <r>
    <n v="64"/>
    <s v="CA-2016-135545"/>
    <x v="27"/>
    <x v="27"/>
    <x v="1"/>
    <x v="1"/>
    <x v="61"/>
    <n v="25.824000000000002"/>
    <n v="6"/>
    <n v="9.3612000000000002"/>
    <n v="0.2"/>
  </r>
  <r>
    <n v="65"/>
    <s v="CA-2016-135545"/>
    <x v="27"/>
    <x v="27"/>
    <x v="1"/>
    <x v="1"/>
    <x v="62"/>
    <n v="146.72999999999999"/>
    <n v="3"/>
    <n v="68.963099999999997"/>
    <n v="0"/>
  </r>
  <r>
    <n v="66"/>
    <s v="CA-2016-135545"/>
    <x v="27"/>
    <x v="27"/>
    <x v="1"/>
    <x v="0"/>
    <x v="63"/>
    <n v="79.760000000000005"/>
    <n v="4"/>
    <n v="22.332800000000006"/>
    <n v="0"/>
  </r>
  <r>
    <n v="67"/>
    <s v="US-2016-164175"/>
    <x v="28"/>
    <x v="28"/>
    <x v="2"/>
    <x v="0"/>
    <x v="64"/>
    <n v="213.11499999999998"/>
    <n v="5"/>
    <n v="-15.222500000000011"/>
    <n v="0.3"/>
  </r>
  <r>
    <n v="68"/>
    <s v="CA-2015-106376"/>
    <x v="29"/>
    <x v="29"/>
    <x v="1"/>
    <x v="1"/>
    <x v="65"/>
    <n v="1113.0240000000001"/>
    <n v="8"/>
    <n v="111.30239999999998"/>
    <n v="0.2"/>
  </r>
  <r>
    <n v="69"/>
    <s v="CA-2015-106376"/>
    <x v="29"/>
    <x v="29"/>
    <x v="1"/>
    <x v="2"/>
    <x v="66"/>
    <n v="167.96800000000002"/>
    <n v="4"/>
    <n v="62.988"/>
    <n v="0.2"/>
  </r>
  <r>
    <n v="70"/>
    <s v="CA-2017-119823"/>
    <x v="30"/>
    <x v="30"/>
    <x v="0"/>
    <x v="1"/>
    <x v="67"/>
    <n v="75.88"/>
    <n v="2"/>
    <n v="35.663599999999995"/>
    <n v="0"/>
  </r>
  <r>
    <n v="71"/>
    <s v="CA-2017-106075"/>
    <x v="31"/>
    <x v="31"/>
    <x v="3"/>
    <x v="1"/>
    <x v="68"/>
    <n v="4.6159999999999997"/>
    <n v="1"/>
    <n v="1.7309999999999999"/>
    <n v="0.2"/>
  </r>
  <r>
    <n v="72"/>
    <s v="CA-2018-114440"/>
    <x v="32"/>
    <x v="14"/>
    <x v="2"/>
    <x v="1"/>
    <x v="69"/>
    <n v="19.049999999999997"/>
    <n v="3"/>
    <n v="8.7629999999999999"/>
    <n v="0"/>
  </r>
  <r>
    <n v="73"/>
    <s v="US-2016-134026"/>
    <x v="33"/>
    <x v="32"/>
    <x v="0"/>
    <x v="0"/>
    <x v="70"/>
    <n v="831.93600000000015"/>
    <n v="8"/>
    <n v="-114.39120000000003"/>
    <n v="0.2"/>
  </r>
  <r>
    <n v="74"/>
    <s v="US-2016-134026"/>
    <x v="33"/>
    <x v="32"/>
    <x v="0"/>
    <x v="0"/>
    <x v="71"/>
    <n v="97.04"/>
    <n v="2"/>
    <n v="1.2129999999999974"/>
    <n v="0.2"/>
  </r>
  <r>
    <n v="75"/>
    <s v="US-2016-134026"/>
    <x v="33"/>
    <x v="32"/>
    <x v="0"/>
    <x v="1"/>
    <x v="72"/>
    <n v="72.784000000000006"/>
    <n v="1"/>
    <n v="-18.196000000000002"/>
    <n v="0.2"/>
  </r>
  <r>
    <n v="76"/>
    <s v="US-2018-118038"/>
    <x v="34"/>
    <x v="33"/>
    <x v="2"/>
    <x v="1"/>
    <x v="73"/>
    <n v="1.2479999999999998"/>
    <n v="3"/>
    <n v="-1.9344000000000006"/>
    <n v="0.8"/>
  </r>
  <r>
    <n v="77"/>
    <s v="US-2018-118038"/>
    <x v="34"/>
    <x v="33"/>
    <x v="2"/>
    <x v="0"/>
    <x v="74"/>
    <n v="9.7080000000000002"/>
    <n v="3"/>
    <n v="-5.8248000000000015"/>
    <n v="0.6"/>
  </r>
  <r>
    <n v="78"/>
    <s v="US-2018-118038"/>
    <x v="34"/>
    <x v="33"/>
    <x v="2"/>
    <x v="1"/>
    <x v="75"/>
    <n v="27.240000000000002"/>
    <n v="3"/>
    <n v="2.724000000000002"/>
    <n v="0.2"/>
  </r>
  <r>
    <n v="79"/>
    <s v="US-2015-147606"/>
    <x v="35"/>
    <x v="32"/>
    <x v="2"/>
    <x v="0"/>
    <x v="76"/>
    <n v="19.3"/>
    <n v="5"/>
    <n v="-14.475000000000001"/>
    <n v="0.6"/>
  </r>
  <r>
    <n v="80"/>
    <s v="CA-2017-127208"/>
    <x v="1"/>
    <x v="34"/>
    <x v="0"/>
    <x v="1"/>
    <x v="77"/>
    <n v="208.16"/>
    <n v="1"/>
    <n v="56.20320000000001"/>
    <n v="0"/>
  </r>
  <r>
    <n v="81"/>
    <s v="CA-2017-127208"/>
    <x v="1"/>
    <x v="34"/>
    <x v="0"/>
    <x v="1"/>
    <x v="78"/>
    <n v="16.740000000000002"/>
    <n v="3"/>
    <n v="8.0351999999999997"/>
    <n v="0"/>
  </r>
  <r>
    <n v="82"/>
    <s v="CA-2015-139451"/>
    <x v="36"/>
    <x v="35"/>
    <x v="1"/>
    <x v="1"/>
    <x v="79"/>
    <n v="14.9"/>
    <n v="5"/>
    <n v="4.1720000000000006"/>
    <n v="0"/>
  </r>
  <r>
    <n v="83"/>
    <s v="CA-2015-139451"/>
    <x v="36"/>
    <x v="35"/>
    <x v="1"/>
    <x v="1"/>
    <x v="80"/>
    <n v="21.39"/>
    <n v="1"/>
    <n v="6.2030999999999992"/>
    <n v="0"/>
  </r>
  <r>
    <n v="84"/>
    <s v="CA-2016-149734"/>
    <x v="37"/>
    <x v="36"/>
    <x v="0"/>
    <x v="1"/>
    <x v="81"/>
    <n v="200.98400000000004"/>
    <n v="7"/>
    <n v="62.807499999999976"/>
    <n v="0.2"/>
  </r>
  <r>
    <n v="85"/>
    <s v="US-2018-119662"/>
    <x v="38"/>
    <x v="37"/>
    <x v="2"/>
    <x v="1"/>
    <x v="82"/>
    <n v="230.376"/>
    <n v="3"/>
    <n v="-48.954900000000002"/>
    <n v="0.2"/>
  </r>
  <r>
    <n v="86"/>
    <s v="CA-2018-140088"/>
    <x v="39"/>
    <x v="22"/>
    <x v="0"/>
    <x v="0"/>
    <x v="83"/>
    <n v="301.95999999999998"/>
    <n v="2"/>
    <n v="33.215599999999995"/>
    <n v="0"/>
  </r>
  <r>
    <n v="87"/>
    <s v="CA-2018-155558"/>
    <x v="40"/>
    <x v="38"/>
    <x v="2"/>
    <x v="2"/>
    <x v="84"/>
    <n v="19.989999999999998"/>
    <n v="1"/>
    <n v="6.796599999999998"/>
    <n v="0"/>
  </r>
  <r>
    <n v="88"/>
    <s v="CA-2018-155558"/>
    <x v="40"/>
    <x v="38"/>
    <x v="2"/>
    <x v="1"/>
    <x v="85"/>
    <n v="6.16"/>
    <n v="2"/>
    <n v="2.9567999999999999"/>
    <n v="0"/>
  </r>
  <r>
    <n v="89"/>
    <s v="CA-2017-159695"/>
    <x v="41"/>
    <x v="39"/>
    <x v="2"/>
    <x v="1"/>
    <x v="86"/>
    <n v="158.36800000000002"/>
    <n v="7"/>
    <n v="13.857199999999999"/>
    <n v="0.2"/>
  </r>
  <r>
    <n v="90"/>
    <s v="CA-2017-109806"/>
    <x v="42"/>
    <x v="40"/>
    <x v="1"/>
    <x v="1"/>
    <x v="87"/>
    <n v="20.100000000000001"/>
    <n v="3"/>
    <n v="6.6329999999999982"/>
    <n v="0"/>
  </r>
  <r>
    <n v="91"/>
    <s v="CA-2017-109806"/>
    <x v="42"/>
    <x v="40"/>
    <x v="1"/>
    <x v="2"/>
    <x v="40"/>
    <n v="73.584000000000003"/>
    <n v="2"/>
    <n v="8.2781999999999982"/>
    <n v="0.2"/>
  </r>
  <r>
    <n v="92"/>
    <s v="CA-2017-109806"/>
    <x v="42"/>
    <x v="40"/>
    <x v="1"/>
    <x v="1"/>
    <x v="88"/>
    <n v="6.48"/>
    <n v="1"/>
    <n v="3.1104000000000003"/>
    <n v="0"/>
  </r>
  <r>
    <n v="93"/>
    <s v="CA-2016-149587"/>
    <x v="43"/>
    <x v="41"/>
    <x v="2"/>
    <x v="1"/>
    <x v="89"/>
    <n v="12.96"/>
    <n v="2"/>
    <n v="6.2208000000000006"/>
    <n v="0"/>
  </r>
  <r>
    <n v="94"/>
    <s v="CA-2016-149587"/>
    <x v="43"/>
    <x v="41"/>
    <x v="2"/>
    <x v="0"/>
    <x v="90"/>
    <n v="53.34"/>
    <n v="3"/>
    <n v="16.535399999999996"/>
    <n v="0"/>
  </r>
  <r>
    <n v="95"/>
    <s v="CA-2016-149587"/>
    <x v="43"/>
    <x v="41"/>
    <x v="2"/>
    <x v="1"/>
    <x v="91"/>
    <n v="32.96"/>
    <n v="2"/>
    <n v="16.150400000000001"/>
    <n v="0"/>
  </r>
  <r>
    <n v="96"/>
    <s v="US-2018-109484"/>
    <x v="44"/>
    <x v="42"/>
    <x v="1"/>
    <x v="1"/>
    <x v="92"/>
    <n v="5.6820000000000013"/>
    <n v="1"/>
    <n v="-3.7880000000000003"/>
    <n v="0.7"/>
  </r>
  <r>
    <n v="97"/>
    <s v="CA-2018-161018"/>
    <x v="45"/>
    <x v="43"/>
    <x v="3"/>
    <x v="0"/>
    <x v="93"/>
    <n v="96.53"/>
    <n v="7"/>
    <n v="40.5426"/>
    <n v="0"/>
  </r>
  <r>
    <n v="98"/>
    <s v="CA-2018-157833"/>
    <x v="46"/>
    <x v="44"/>
    <x v="1"/>
    <x v="1"/>
    <x v="94"/>
    <n v="51.311999999999998"/>
    <n v="3"/>
    <n v="17.959199999999999"/>
    <n v="0.2"/>
  </r>
  <r>
    <n v="99"/>
    <s v="CA-2017-149223"/>
    <x v="47"/>
    <x v="45"/>
    <x v="2"/>
    <x v="1"/>
    <x v="95"/>
    <n v="77.88"/>
    <n v="6"/>
    <n v="22.585199999999993"/>
    <n v="0"/>
  </r>
  <r>
    <n v="100"/>
    <s v="CA-2017-158568"/>
    <x v="48"/>
    <x v="46"/>
    <x v="2"/>
    <x v="1"/>
    <x v="96"/>
    <n v="64.623999999999995"/>
    <n v="7"/>
    <n v="22.618399999999994"/>
    <n v="0.2"/>
  </r>
  <r>
    <n v="101"/>
    <s v="CA-2017-158568"/>
    <x v="48"/>
    <x v="46"/>
    <x v="2"/>
    <x v="2"/>
    <x v="97"/>
    <n v="95.976000000000013"/>
    <n v="3"/>
    <n v="-10.797300000000011"/>
    <n v="0.2"/>
  </r>
  <r>
    <n v="102"/>
    <s v="CA-2017-158568"/>
    <x v="48"/>
    <x v="46"/>
    <x v="2"/>
    <x v="1"/>
    <x v="98"/>
    <n v="1.7879999999999996"/>
    <n v="3"/>
    <n v="-3.0396000000000001"/>
    <n v="0.8"/>
  </r>
  <r>
    <n v="103"/>
    <s v="CA-2017-129903"/>
    <x v="49"/>
    <x v="47"/>
    <x v="2"/>
    <x v="1"/>
    <x v="99"/>
    <n v="23.92"/>
    <n v="4"/>
    <n v="11.720800000000001"/>
    <n v="0"/>
  </r>
  <r>
    <n v="104"/>
    <s v="US-2016-156867"/>
    <x v="50"/>
    <x v="48"/>
    <x v="1"/>
    <x v="2"/>
    <x v="100"/>
    <n v="238.89600000000002"/>
    <n v="6"/>
    <n v="-26.875800000000012"/>
    <n v="0.2"/>
  </r>
  <r>
    <n v="105"/>
    <s v="US-2016-156867"/>
    <x v="50"/>
    <x v="48"/>
    <x v="1"/>
    <x v="0"/>
    <x v="101"/>
    <n v="102.35999999999999"/>
    <n v="3"/>
    <n v="-3.8385000000000105"/>
    <n v="0.2"/>
  </r>
  <r>
    <n v="106"/>
    <s v="US-2016-156867"/>
    <x v="50"/>
    <x v="48"/>
    <x v="1"/>
    <x v="1"/>
    <x v="102"/>
    <n v="36.882000000000005"/>
    <n v="3"/>
    <n v="-25.817399999999999"/>
    <n v="0.7"/>
  </r>
  <r>
    <n v="107"/>
    <s v="CA-2018-119004"/>
    <x v="51"/>
    <x v="49"/>
    <x v="0"/>
    <x v="2"/>
    <x v="103"/>
    <n v="74.112000000000009"/>
    <n v="8"/>
    <n v="17.601600000000001"/>
    <n v="0.2"/>
  </r>
  <r>
    <n v="108"/>
    <s v="CA-2018-119004"/>
    <x v="51"/>
    <x v="49"/>
    <x v="0"/>
    <x v="2"/>
    <x v="104"/>
    <n v="27.992000000000004"/>
    <n v="1"/>
    <n v="2.0993999999999993"/>
    <n v="0.2"/>
  </r>
  <r>
    <n v="109"/>
    <s v="CA-2018-119004"/>
    <x v="51"/>
    <x v="49"/>
    <x v="0"/>
    <x v="1"/>
    <x v="105"/>
    <n v="3.3040000000000003"/>
    <n v="1"/>
    <n v="1.0737999999999999"/>
    <n v="0.2"/>
  </r>
  <r>
    <n v="110"/>
    <s v="CA-2016-129476"/>
    <x v="52"/>
    <x v="50"/>
    <x v="2"/>
    <x v="2"/>
    <x v="106"/>
    <n v="339.96000000000004"/>
    <n v="5"/>
    <n v="67.991999999999962"/>
    <n v="0.2"/>
  </r>
  <r>
    <n v="111"/>
    <s v="CA-2018-146780"/>
    <x v="53"/>
    <x v="51"/>
    <x v="3"/>
    <x v="0"/>
    <x v="107"/>
    <n v="41.96"/>
    <n v="2"/>
    <n v="10.909600000000001"/>
    <n v="0"/>
  </r>
  <r>
    <n v="112"/>
    <s v="CA-2017-128867"/>
    <x v="54"/>
    <x v="52"/>
    <x v="2"/>
    <x v="1"/>
    <x v="108"/>
    <n v="75.959999999999994"/>
    <n v="2"/>
    <n v="22.78799999999999"/>
    <n v="0"/>
  </r>
  <r>
    <n v="113"/>
    <s v="CA-2017-128867"/>
    <x v="54"/>
    <x v="52"/>
    <x v="2"/>
    <x v="1"/>
    <x v="109"/>
    <n v="27.240000000000002"/>
    <n v="6"/>
    <n v="13.3476"/>
    <n v="0"/>
  </r>
  <r>
    <n v="114"/>
    <s v="CA-2015-115259"/>
    <x v="55"/>
    <x v="53"/>
    <x v="3"/>
    <x v="1"/>
    <x v="110"/>
    <n v="40.096000000000004"/>
    <n v="14"/>
    <n v="14.534799999999997"/>
    <n v="0.2"/>
  </r>
  <r>
    <n v="115"/>
    <s v="CA-2015-115259"/>
    <x v="55"/>
    <x v="53"/>
    <x v="3"/>
    <x v="1"/>
    <x v="111"/>
    <n v="4.7200000000000006"/>
    <n v="2"/>
    <n v="1.6519999999999997"/>
    <n v="0.2"/>
  </r>
  <r>
    <n v="116"/>
    <s v="CA-2015-115259"/>
    <x v="55"/>
    <x v="53"/>
    <x v="3"/>
    <x v="1"/>
    <x v="112"/>
    <n v="23.976000000000003"/>
    <n v="3"/>
    <n v="7.4924999999999988"/>
    <n v="0.2"/>
  </r>
  <r>
    <n v="117"/>
    <s v="CA-2015-115259"/>
    <x v="55"/>
    <x v="53"/>
    <x v="3"/>
    <x v="1"/>
    <x v="113"/>
    <n v="130.464"/>
    <n v="6"/>
    <n v="44.031599999999997"/>
    <n v="0.2"/>
  </r>
  <r>
    <n v="118"/>
    <s v="CA-2016-110457"/>
    <x v="56"/>
    <x v="54"/>
    <x v="1"/>
    <x v="0"/>
    <x v="114"/>
    <n v="787.53"/>
    <n v="3"/>
    <n v="165.38129999999995"/>
    <n v="0"/>
  </r>
  <r>
    <n v="119"/>
    <s v="US-2016-136476"/>
    <x v="57"/>
    <x v="55"/>
    <x v="0"/>
    <x v="1"/>
    <x v="115"/>
    <n v="157.79400000000004"/>
    <n v="1"/>
    <n v="-115.71559999999999"/>
    <n v="0.7"/>
  </r>
  <r>
    <n v="120"/>
    <s v="CA-2017-103730"/>
    <x v="1"/>
    <x v="56"/>
    <x v="3"/>
    <x v="0"/>
    <x v="116"/>
    <n v="47.04"/>
    <n v="3"/>
    <n v="18.345599999999997"/>
    <n v="0"/>
  </r>
  <r>
    <n v="121"/>
    <s v="CA-2017-103730"/>
    <x v="1"/>
    <x v="56"/>
    <x v="3"/>
    <x v="1"/>
    <x v="8"/>
    <n v="30.84"/>
    <n v="4"/>
    <n v="13.878"/>
    <n v="0"/>
  </r>
  <r>
    <n v="122"/>
    <s v="CA-2017-103730"/>
    <x v="1"/>
    <x v="56"/>
    <x v="3"/>
    <x v="1"/>
    <x v="117"/>
    <n v="226.56"/>
    <n v="6"/>
    <n v="63.436800000000005"/>
    <n v="0"/>
  </r>
  <r>
    <n v="123"/>
    <s v="CA-2017-103730"/>
    <x v="1"/>
    <x v="56"/>
    <x v="3"/>
    <x v="1"/>
    <x v="118"/>
    <n v="115.02"/>
    <n v="9"/>
    <n v="51.758999999999993"/>
    <n v="0"/>
  </r>
  <r>
    <n v="124"/>
    <s v="CA-2017-103730"/>
    <x v="1"/>
    <x v="56"/>
    <x v="3"/>
    <x v="2"/>
    <x v="119"/>
    <n v="68.040000000000006"/>
    <n v="7"/>
    <n v="19.731599999999997"/>
    <n v="0"/>
  </r>
  <r>
    <n v="125"/>
    <s v="US-2015-152030"/>
    <x v="58"/>
    <x v="57"/>
    <x v="2"/>
    <x v="0"/>
    <x v="120"/>
    <n v="600.55799999999999"/>
    <n v="3"/>
    <n v="-8.5794000000000779"/>
    <n v="0.3"/>
  </r>
  <r>
    <n v="126"/>
    <s v="US-2015-134614"/>
    <x v="59"/>
    <x v="58"/>
    <x v="2"/>
    <x v="0"/>
    <x v="121"/>
    <n v="617.70000000000005"/>
    <n v="6"/>
    <n v="-407.68200000000013"/>
    <n v="0.5"/>
  </r>
  <r>
    <n v="127"/>
    <s v="US-2018-107272"/>
    <x v="60"/>
    <x v="59"/>
    <x v="1"/>
    <x v="1"/>
    <x v="122"/>
    <n v="2.3880000000000003"/>
    <n v="2"/>
    <n v="-1.8308"/>
    <n v="0.7"/>
  </r>
  <r>
    <n v="128"/>
    <s v="US-2018-107272"/>
    <x v="60"/>
    <x v="59"/>
    <x v="1"/>
    <x v="1"/>
    <x v="123"/>
    <n v="243.99200000000002"/>
    <n v="7"/>
    <n v="30.498999999999981"/>
    <n v="0.2"/>
  </r>
  <r>
    <n v="129"/>
    <s v="US-2017-125969"/>
    <x v="61"/>
    <x v="60"/>
    <x v="1"/>
    <x v="0"/>
    <x v="124"/>
    <n v="81.424000000000007"/>
    <n v="2"/>
    <n v="-9.1601999999999961"/>
    <n v="0.2"/>
  </r>
  <r>
    <n v="130"/>
    <s v="US-2017-125969"/>
    <x v="61"/>
    <x v="60"/>
    <x v="1"/>
    <x v="0"/>
    <x v="125"/>
    <n v="238.56"/>
    <n v="3"/>
    <n v="26.241599999999977"/>
    <n v="0"/>
  </r>
  <r>
    <n v="131"/>
    <s v="US-2018-164147"/>
    <x v="62"/>
    <x v="61"/>
    <x v="3"/>
    <x v="2"/>
    <x v="126"/>
    <n v="59.969999999999992"/>
    <n v="5"/>
    <n v="-11.993999999999993"/>
    <n v="0.4"/>
  </r>
  <r>
    <n v="132"/>
    <s v="US-2018-164147"/>
    <x v="62"/>
    <x v="61"/>
    <x v="3"/>
    <x v="1"/>
    <x v="127"/>
    <n v="78.304000000000002"/>
    <n v="2"/>
    <n v="29.363999999999997"/>
    <n v="0.2"/>
  </r>
  <r>
    <n v="133"/>
    <s v="US-2018-164147"/>
    <x v="62"/>
    <x v="61"/>
    <x v="3"/>
    <x v="1"/>
    <x v="128"/>
    <n v="21.456"/>
    <n v="9"/>
    <n v="6.9731999999999976"/>
    <n v="0.2"/>
  </r>
  <r>
    <n v="134"/>
    <s v="CA-2017-145583"/>
    <x v="63"/>
    <x v="62"/>
    <x v="1"/>
    <x v="1"/>
    <x v="129"/>
    <n v="20.04"/>
    <n v="3"/>
    <n v="9.6191999999999993"/>
    <n v="0"/>
  </r>
  <r>
    <n v="135"/>
    <s v="CA-2017-145583"/>
    <x v="63"/>
    <x v="62"/>
    <x v="1"/>
    <x v="1"/>
    <x v="130"/>
    <n v="35.44"/>
    <n v="1"/>
    <n v="16.656799999999997"/>
    <n v="0"/>
  </r>
  <r>
    <n v="136"/>
    <s v="CA-2017-145583"/>
    <x v="63"/>
    <x v="62"/>
    <x v="1"/>
    <x v="1"/>
    <x v="131"/>
    <n v="11.52"/>
    <n v="4"/>
    <n v="3.4559999999999995"/>
    <n v="0"/>
  </r>
  <r>
    <n v="137"/>
    <s v="CA-2017-145583"/>
    <x v="63"/>
    <x v="62"/>
    <x v="1"/>
    <x v="1"/>
    <x v="132"/>
    <n v="4.0199999999999996"/>
    <n v="2"/>
    <n v="1.9697999999999998"/>
    <n v="0"/>
  </r>
  <r>
    <n v="138"/>
    <s v="CA-2017-145583"/>
    <x v="63"/>
    <x v="62"/>
    <x v="1"/>
    <x v="1"/>
    <x v="133"/>
    <n v="76.176000000000002"/>
    <n v="3"/>
    <n v="26.661599999999996"/>
    <n v="0.2"/>
  </r>
  <r>
    <n v="139"/>
    <s v="CA-2017-145583"/>
    <x v="63"/>
    <x v="62"/>
    <x v="1"/>
    <x v="1"/>
    <x v="134"/>
    <n v="65.88"/>
    <n v="6"/>
    <n v="18.446400000000004"/>
    <n v="0"/>
  </r>
  <r>
    <n v="140"/>
    <s v="CA-2017-145583"/>
    <x v="63"/>
    <x v="62"/>
    <x v="1"/>
    <x v="0"/>
    <x v="50"/>
    <n v="43.120000000000005"/>
    <n v="14"/>
    <n v="20.697599999999998"/>
    <n v="0"/>
  </r>
  <r>
    <n v="141"/>
    <s v="CA-2017-110366"/>
    <x v="64"/>
    <x v="63"/>
    <x v="3"/>
    <x v="0"/>
    <x v="28"/>
    <n v="82.800000000000011"/>
    <n v="2"/>
    <n v="10.349999999999994"/>
    <n v="0.2"/>
  </r>
  <r>
    <n v="142"/>
    <s v="CA-2018-106180"/>
    <x v="65"/>
    <x v="64"/>
    <x v="1"/>
    <x v="1"/>
    <x v="135"/>
    <n v="8.82"/>
    <n v="3"/>
    <n v="2.3814000000000002"/>
    <n v="0"/>
  </r>
  <r>
    <n v="143"/>
    <s v="CA-2018-106180"/>
    <x v="65"/>
    <x v="64"/>
    <x v="1"/>
    <x v="1"/>
    <x v="136"/>
    <n v="10.86"/>
    <n v="3"/>
    <n v="5.1042000000000005"/>
    <n v="0"/>
  </r>
  <r>
    <n v="144"/>
    <s v="CA-2018-106180"/>
    <x v="65"/>
    <x v="64"/>
    <x v="1"/>
    <x v="1"/>
    <x v="137"/>
    <n v="143.69999999999999"/>
    <n v="3"/>
    <n v="68.975999999999999"/>
    <n v="0"/>
  </r>
  <r>
    <n v="145"/>
    <s v="CA-2018-155376"/>
    <x v="66"/>
    <x v="65"/>
    <x v="2"/>
    <x v="1"/>
    <x v="138"/>
    <n v="839.43000000000006"/>
    <n v="3"/>
    <n v="218.25179999999997"/>
    <n v="0"/>
  </r>
  <r>
    <n v="146"/>
    <s v="CA-2016-110744"/>
    <x v="67"/>
    <x v="66"/>
    <x v="1"/>
    <x v="1"/>
    <x v="82"/>
    <n v="671.93"/>
    <n v="7"/>
    <n v="20.157899999999998"/>
    <n v="0"/>
  </r>
  <r>
    <n v="147"/>
    <s v="CA-2015-110072"/>
    <x v="68"/>
    <x v="67"/>
    <x v="3"/>
    <x v="0"/>
    <x v="139"/>
    <n v="93.888000000000005"/>
    <n v="4"/>
    <n v="12.90959999999999"/>
    <n v="0.2"/>
  </r>
  <r>
    <n v="148"/>
    <s v="CA-2017-114489"/>
    <x v="5"/>
    <x v="68"/>
    <x v="2"/>
    <x v="2"/>
    <x v="140"/>
    <n v="384.45000000000005"/>
    <n v="11"/>
    <n v="103.80150000000003"/>
    <n v="0"/>
  </r>
  <r>
    <n v="149"/>
    <s v="CA-2017-114489"/>
    <x v="5"/>
    <x v="68"/>
    <x v="2"/>
    <x v="2"/>
    <x v="141"/>
    <n v="149.97"/>
    <n v="3"/>
    <n v="5.9987999999999815"/>
    <n v="0"/>
  </r>
  <r>
    <n v="150"/>
    <s v="CA-2017-114489"/>
    <x v="5"/>
    <x v="68"/>
    <x v="2"/>
    <x v="0"/>
    <x v="1"/>
    <n v="1951.84"/>
    <n v="8"/>
    <n v="585.55199999999991"/>
    <n v="0"/>
  </r>
  <r>
    <n v="151"/>
    <s v="CA-2017-114489"/>
    <x v="5"/>
    <x v="68"/>
    <x v="2"/>
    <x v="1"/>
    <x v="142"/>
    <n v="171.55"/>
    <n v="5"/>
    <n v="80.628500000000003"/>
    <n v="0"/>
  </r>
  <r>
    <n v="152"/>
    <s v="CA-2017-158834"/>
    <x v="69"/>
    <x v="69"/>
    <x v="1"/>
    <x v="1"/>
    <x v="143"/>
    <n v="157.91999999999999"/>
    <n v="5"/>
    <n v="17.765999999999991"/>
    <n v="0.2"/>
  </r>
  <r>
    <n v="153"/>
    <s v="CA-2017-158834"/>
    <x v="69"/>
    <x v="69"/>
    <x v="1"/>
    <x v="2"/>
    <x v="144"/>
    <n v="203.184"/>
    <n v="2"/>
    <n v="15.238799999999991"/>
    <n v="0.2"/>
  </r>
  <r>
    <n v="154"/>
    <s v="CA-2016-124919"/>
    <x v="70"/>
    <x v="70"/>
    <x v="1"/>
    <x v="1"/>
    <x v="145"/>
    <n v="58.379999999999995"/>
    <n v="7"/>
    <n v="26.270999999999994"/>
    <n v="0"/>
  </r>
  <r>
    <n v="155"/>
    <s v="CA-2016-124919"/>
    <x v="70"/>
    <x v="70"/>
    <x v="1"/>
    <x v="1"/>
    <x v="146"/>
    <n v="105.52"/>
    <n v="4"/>
    <n v="48.539199999999994"/>
    <n v="0"/>
  </r>
  <r>
    <n v="156"/>
    <s v="CA-2016-124919"/>
    <x v="70"/>
    <x v="70"/>
    <x v="1"/>
    <x v="1"/>
    <x v="147"/>
    <n v="80.88"/>
    <n v="6"/>
    <n v="21.028799999999997"/>
    <n v="0"/>
  </r>
  <r>
    <n v="157"/>
    <s v="CA-2016-118948"/>
    <x v="71"/>
    <x v="71"/>
    <x v="1"/>
    <x v="1"/>
    <x v="148"/>
    <n v="6.63"/>
    <n v="3"/>
    <n v="1.7901"/>
    <n v="0"/>
  </r>
  <r>
    <n v="158"/>
    <s v="CA-2015-104269"/>
    <x v="72"/>
    <x v="72"/>
    <x v="1"/>
    <x v="0"/>
    <x v="120"/>
    <n v="457.56800000000004"/>
    <n v="2"/>
    <n v="51.476399999999941"/>
    <n v="0.2"/>
  </r>
  <r>
    <n v="159"/>
    <s v="CA-2017-114104"/>
    <x v="73"/>
    <x v="73"/>
    <x v="2"/>
    <x v="1"/>
    <x v="149"/>
    <n v="14.62"/>
    <n v="2"/>
    <n v="6.8713999999999995"/>
    <n v="0"/>
  </r>
  <r>
    <n v="160"/>
    <s v="CA-2017-114104"/>
    <x v="73"/>
    <x v="73"/>
    <x v="2"/>
    <x v="2"/>
    <x v="150"/>
    <n v="944.93000000000006"/>
    <n v="7"/>
    <n v="236.23250000000002"/>
    <n v="0"/>
  </r>
  <r>
    <n v="161"/>
    <s v="CA-2017-162733"/>
    <x v="74"/>
    <x v="74"/>
    <x v="1"/>
    <x v="1"/>
    <x v="151"/>
    <n v="5.98"/>
    <n v="1"/>
    <n v="2.6909999999999998"/>
    <n v="0"/>
  </r>
  <r>
    <n v="162"/>
    <s v="CA-2016-119697"/>
    <x v="75"/>
    <x v="75"/>
    <x v="3"/>
    <x v="2"/>
    <x v="152"/>
    <n v="54.384000000000007"/>
    <n v="2"/>
    <n v="1.359599999999995"/>
    <n v="0.2"/>
  </r>
  <r>
    <n v="163"/>
    <s v="CA-2017-154508"/>
    <x v="76"/>
    <x v="76"/>
    <x v="1"/>
    <x v="1"/>
    <x v="153"/>
    <n v="28.4"/>
    <n v="5"/>
    <n v="13.347999999999997"/>
    <n v="0"/>
  </r>
  <r>
    <n v="164"/>
    <s v="CA-2017-113817"/>
    <x v="77"/>
    <x v="77"/>
    <x v="1"/>
    <x v="1"/>
    <x v="154"/>
    <n v="27.680000000000003"/>
    <n v="2"/>
    <n v="9.6879999999999988"/>
    <n v="0.2"/>
  </r>
  <r>
    <n v="165"/>
    <s v="CA-2015-139892"/>
    <x v="78"/>
    <x v="78"/>
    <x v="2"/>
    <x v="1"/>
    <x v="155"/>
    <n v="9.9359999999999999"/>
    <n v="3"/>
    <n v="2.7324000000000002"/>
    <n v="0.2"/>
  </r>
  <r>
    <n v="166"/>
    <s v="CA-2015-139892"/>
    <x v="78"/>
    <x v="78"/>
    <x v="2"/>
    <x v="2"/>
    <x v="156"/>
    <n v="8159.9519999999993"/>
    <n v="8"/>
    <n v="-1359.992000000002"/>
    <n v="0.4"/>
  </r>
  <r>
    <n v="167"/>
    <s v="CA-2015-139892"/>
    <x v="78"/>
    <x v="78"/>
    <x v="2"/>
    <x v="1"/>
    <x v="157"/>
    <n v="275.928"/>
    <n v="3"/>
    <n v="-58.634699999999995"/>
    <n v="0.2"/>
  </r>
  <r>
    <n v="168"/>
    <s v="CA-2015-139892"/>
    <x v="78"/>
    <x v="78"/>
    <x v="2"/>
    <x v="0"/>
    <x v="158"/>
    <n v="1740.0599999999997"/>
    <n v="9"/>
    <n v="-24.858000000000175"/>
    <n v="0.3"/>
  </r>
  <r>
    <n v="169"/>
    <s v="CA-2015-139892"/>
    <x v="78"/>
    <x v="78"/>
    <x v="2"/>
    <x v="1"/>
    <x v="159"/>
    <n v="32.064"/>
    <n v="6"/>
    <n v="6.8135999999999974"/>
    <n v="0.2"/>
  </r>
  <r>
    <n v="170"/>
    <s v="CA-2015-139892"/>
    <x v="78"/>
    <x v="78"/>
    <x v="2"/>
    <x v="1"/>
    <x v="160"/>
    <n v="177.97999999999996"/>
    <n v="5"/>
    <n v="-453.84900000000005"/>
    <n v="0.8"/>
  </r>
  <r>
    <n v="171"/>
    <s v="CA-2015-139892"/>
    <x v="78"/>
    <x v="78"/>
    <x v="2"/>
    <x v="2"/>
    <x v="161"/>
    <n v="143.976"/>
    <n v="3"/>
    <n v="8.998500000000007"/>
    <n v="0.2"/>
  </r>
  <r>
    <n v="172"/>
    <s v="CA-2015-118962"/>
    <x v="79"/>
    <x v="79"/>
    <x v="1"/>
    <x v="1"/>
    <x v="162"/>
    <n v="20.94"/>
    <n v="3"/>
    <n v="9.841800000000001"/>
    <n v="0"/>
  </r>
  <r>
    <n v="173"/>
    <s v="CA-2015-118962"/>
    <x v="79"/>
    <x v="79"/>
    <x v="1"/>
    <x v="1"/>
    <x v="163"/>
    <n v="110.96"/>
    <n v="2"/>
    <n v="53.260799999999996"/>
    <n v="0"/>
  </r>
  <r>
    <n v="174"/>
    <s v="CA-2015-118962"/>
    <x v="79"/>
    <x v="79"/>
    <x v="1"/>
    <x v="0"/>
    <x v="164"/>
    <n v="340.14400000000006"/>
    <n v="7"/>
    <n v="21.259"/>
    <n v="0.2"/>
  </r>
  <r>
    <n v="175"/>
    <s v="US-2015-100853"/>
    <x v="80"/>
    <x v="80"/>
    <x v="2"/>
    <x v="1"/>
    <x v="165"/>
    <n v="52.447999999999993"/>
    <n v="2"/>
    <n v="-131.12000000000003"/>
    <n v="0.8"/>
  </r>
  <r>
    <n v="176"/>
    <s v="US-2015-100853"/>
    <x v="80"/>
    <x v="80"/>
    <x v="2"/>
    <x v="1"/>
    <x v="166"/>
    <n v="20.16"/>
    <n v="4"/>
    <n v="6.5519999999999987"/>
    <n v="0.2"/>
  </r>
  <r>
    <n v="177"/>
    <s v="US-2018-152366"/>
    <x v="81"/>
    <x v="81"/>
    <x v="2"/>
    <x v="1"/>
    <x v="167"/>
    <n v="97.263999999999982"/>
    <n v="4"/>
    <n v="-243.16000000000008"/>
    <n v="0.8"/>
  </r>
  <r>
    <n v="178"/>
    <s v="US-2016-101511"/>
    <x v="82"/>
    <x v="32"/>
    <x v="3"/>
    <x v="0"/>
    <x v="168"/>
    <n v="396.80200000000002"/>
    <n v="7"/>
    <n v="-11.337199999999939"/>
    <n v="0.3"/>
  </r>
  <r>
    <n v="179"/>
    <s v="US-2016-101511"/>
    <x v="82"/>
    <x v="32"/>
    <x v="3"/>
    <x v="1"/>
    <x v="169"/>
    <n v="15.88"/>
    <n v="5"/>
    <n v="-3.771500000000001"/>
    <n v="0.2"/>
  </r>
  <r>
    <n v="180"/>
    <s v="CA-2016-137225"/>
    <x v="83"/>
    <x v="82"/>
    <x v="3"/>
    <x v="1"/>
    <x v="170"/>
    <n v="3.28"/>
    <n v="1"/>
    <n v="1.4104000000000001"/>
    <n v="0"/>
  </r>
  <r>
    <n v="181"/>
    <s v="CA-2015-166191"/>
    <x v="29"/>
    <x v="83"/>
    <x v="2"/>
    <x v="1"/>
    <x v="171"/>
    <n v="24.816000000000003"/>
    <n v="2"/>
    <n v="1.8612000000000002"/>
    <n v="0.2"/>
  </r>
  <r>
    <n v="182"/>
    <s v="CA-2015-166191"/>
    <x v="29"/>
    <x v="83"/>
    <x v="2"/>
    <x v="2"/>
    <x v="172"/>
    <n v="408.74399999999997"/>
    <n v="7"/>
    <n v="76.639499999999984"/>
    <n v="0.2"/>
  </r>
  <r>
    <n v="183"/>
    <s v="CA-2015-158274"/>
    <x v="84"/>
    <x v="84"/>
    <x v="0"/>
    <x v="2"/>
    <x v="173"/>
    <n v="503.96"/>
    <n v="4"/>
    <n v="131.02960000000002"/>
    <n v="0"/>
  </r>
  <r>
    <n v="184"/>
    <s v="CA-2015-158274"/>
    <x v="84"/>
    <x v="84"/>
    <x v="0"/>
    <x v="2"/>
    <x v="174"/>
    <n v="149.94999999999999"/>
    <n v="5"/>
    <n v="41.986000000000004"/>
    <n v="0"/>
  </r>
  <r>
    <n v="185"/>
    <s v="CA-2015-158274"/>
    <x v="84"/>
    <x v="84"/>
    <x v="0"/>
    <x v="2"/>
    <x v="175"/>
    <n v="29"/>
    <n v="2"/>
    <n v="7.25"/>
    <n v="0"/>
  </r>
  <r>
    <n v="186"/>
    <s v="CA-2017-105018"/>
    <x v="85"/>
    <x v="85"/>
    <x v="3"/>
    <x v="1"/>
    <x v="176"/>
    <n v="7.16"/>
    <n v="2"/>
    <n v="3.4367999999999999"/>
    <n v="0"/>
  </r>
  <r>
    <n v="187"/>
    <s v="CA-2015-123260"/>
    <x v="86"/>
    <x v="86"/>
    <x v="1"/>
    <x v="2"/>
    <x v="177"/>
    <n v="176.8"/>
    <n v="8"/>
    <n v="22.984000000000009"/>
    <n v="0"/>
  </r>
  <r>
    <n v="188"/>
    <s v="CA-2017-157000"/>
    <x v="87"/>
    <x v="87"/>
    <x v="2"/>
    <x v="1"/>
    <x v="178"/>
    <n v="37.224000000000004"/>
    <n v="3"/>
    <n v="3.7224000000000004"/>
    <n v="0.2"/>
  </r>
  <r>
    <n v="189"/>
    <s v="CA-2017-157000"/>
    <x v="87"/>
    <x v="87"/>
    <x v="2"/>
    <x v="1"/>
    <x v="145"/>
    <n v="20.016000000000002"/>
    <n v="3"/>
    <n v="6.2549999999999963"/>
    <n v="0.2"/>
  </r>
  <r>
    <n v="190"/>
    <s v="CA-2016-102281"/>
    <x v="88"/>
    <x v="88"/>
    <x v="3"/>
    <x v="0"/>
    <x v="179"/>
    <n v="899.13600000000008"/>
    <n v="4"/>
    <n v="112.39199999999991"/>
    <n v="0.2"/>
  </r>
  <r>
    <n v="191"/>
    <s v="CA-2016-102281"/>
    <x v="88"/>
    <x v="88"/>
    <x v="3"/>
    <x v="2"/>
    <x v="180"/>
    <n v="71.760000000000005"/>
    <n v="6"/>
    <n v="20.092800000000004"/>
    <n v="0"/>
  </r>
  <r>
    <n v="192"/>
    <s v="CA-2016-102281"/>
    <x v="88"/>
    <x v="88"/>
    <x v="3"/>
    <x v="1"/>
    <x v="181"/>
    <n v="51.84"/>
    <n v="8"/>
    <n v="24.883200000000002"/>
    <n v="0"/>
  </r>
  <r>
    <n v="193"/>
    <s v="CA-2016-102281"/>
    <x v="88"/>
    <x v="88"/>
    <x v="3"/>
    <x v="0"/>
    <x v="37"/>
    <n v="626.35200000000009"/>
    <n v="3"/>
    <n v="46.976400000000012"/>
    <n v="0.2"/>
  </r>
  <r>
    <n v="194"/>
    <s v="CA-2016-102281"/>
    <x v="88"/>
    <x v="88"/>
    <x v="3"/>
    <x v="1"/>
    <x v="182"/>
    <n v="19.899999999999999"/>
    <n v="5"/>
    <n v="6.5669999999999984"/>
    <n v="0"/>
  </r>
  <r>
    <n v="195"/>
    <s v="CA-2016-131457"/>
    <x v="89"/>
    <x v="89"/>
    <x v="1"/>
    <x v="1"/>
    <x v="29"/>
    <n v="14.280000000000001"/>
    <n v="7"/>
    <n v="6.7115999999999989"/>
    <n v="0"/>
  </r>
  <r>
    <n v="196"/>
    <s v="CA-2015-140004"/>
    <x v="90"/>
    <x v="90"/>
    <x v="3"/>
    <x v="1"/>
    <x v="183"/>
    <n v="7.4080000000000004"/>
    <n v="2"/>
    <n v="1.2037999999999995"/>
    <n v="0.2"/>
  </r>
  <r>
    <n v="197"/>
    <s v="CA-2015-140004"/>
    <x v="90"/>
    <x v="90"/>
    <x v="3"/>
    <x v="1"/>
    <x v="184"/>
    <n v="6.048"/>
    <n v="3"/>
    <n v="1.5876000000000006"/>
    <n v="0.2"/>
  </r>
  <r>
    <n v="198"/>
    <s v="CA-2018-107720"/>
    <x v="44"/>
    <x v="91"/>
    <x v="3"/>
    <x v="1"/>
    <x v="185"/>
    <n v="46.26"/>
    <n v="3"/>
    <n v="12.0276"/>
    <n v="0"/>
  </r>
  <r>
    <n v="199"/>
    <s v="US-2018-124303"/>
    <x v="91"/>
    <x v="92"/>
    <x v="3"/>
    <x v="1"/>
    <x v="186"/>
    <n v="2.9460000000000006"/>
    <n v="2"/>
    <n v="-2.2585999999999995"/>
    <n v="0.7"/>
  </r>
  <r>
    <n v="200"/>
    <s v="US-2018-124303"/>
    <x v="91"/>
    <x v="92"/>
    <x v="3"/>
    <x v="1"/>
    <x v="187"/>
    <n v="16.056000000000001"/>
    <n v="3"/>
    <n v="5.8203000000000005"/>
    <n v="0.2"/>
  </r>
  <r>
    <n v="201"/>
    <s v="CA-2018-105074"/>
    <x v="92"/>
    <x v="93"/>
    <x v="3"/>
    <x v="1"/>
    <x v="188"/>
    <n v="21.744000000000003"/>
    <n v="3"/>
    <n v="6.794999999999999"/>
    <n v="0.2"/>
  </r>
  <r>
    <n v="202"/>
    <s v="CA-2015-133690"/>
    <x v="93"/>
    <x v="94"/>
    <x v="1"/>
    <x v="0"/>
    <x v="189"/>
    <n v="218.75"/>
    <n v="2"/>
    <n v="-161.875"/>
    <n v="0.5"/>
  </r>
  <r>
    <n v="203"/>
    <s v="CA-2015-133690"/>
    <x v="93"/>
    <x v="94"/>
    <x v="1"/>
    <x v="1"/>
    <x v="190"/>
    <n v="2.6"/>
    <n v="1"/>
    <n v="0.29249999999999987"/>
    <n v="0.2"/>
  </r>
  <r>
    <n v="204"/>
    <s v="US-2018-116701"/>
    <x v="94"/>
    <x v="95"/>
    <x v="2"/>
    <x v="1"/>
    <x v="191"/>
    <n v="66.283999999999992"/>
    <n v="2"/>
    <n v="-178.96680000000001"/>
    <n v="0.8"/>
  </r>
  <r>
    <n v="205"/>
    <s v="CA-2018-126382"/>
    <x v="95"/>
    <x v="96"/>
    <x v="0"/>
    <x v="0"/>
    <x v="192"/>
    <n v="35.168000000000006"/>
    <n v="7"/>
    <n v="9.6712000000000025"/>
    <n v="0.2"/>
  </r>
  <r>
    <n v="206"/>
    <s v="CA-2018-108329"/>
    <x v="34"/>
    <x v="97"/>
    <x v="1"/>
    <x v="2"/>
    <x v="193"/>
    <n v="444.76800000000003"/>
    <n v="4"/>
    <n v="44.476800000000026"/>
    <n v="0.2"/>
  </r>
  <r>
    <n v="207"/>
    <s v="CA-2018-135860"/>
    <x v="96"/>
    <x v="98"/>
    <x v="2"/>
    <x v="1"/>
    <x v="194"/>
    <n v="83.92"/>
    <n v="4"/>
    <n v="5.8743999999999943"/>
    <n v="0"/>
  </r>
  <r>
    <n v="208"/>
    <s v="CA-2018-135860"/>
    <x v="96"/>
    <x v="98"/>
    <x v="2"/>
    <x v="2"/>
    <x v="195"/>
    <n v="131.97999999999999"/>
    <n v="2"/>
    <n v="35.634600000000006"/>
    <n v="0"/>
  </r>
  <r>
    <n v="209"/>
    <s v="CA-2018-135860"/>
    <x v="96"/>
    <x v="98"/>
    <x v="2"/>
    <x v="1"/>
    <x v="122"/>
    <n v="15.92"/>
    <n v="4"/>
    <n v="7.4824000000000002"/>
    <n v="0"/>
  </r>
  <r>
    <n v="210"/>
    <s v="CA-2018-135860"/>
    <x v="96"/>
    <x v="98"/>
    <x v="2"/>
    <x v="1"/>
    <x v="196"/>
    <n v="52.29"/>
    <n v="9"/>
    <n v="16.209899999999998"/>
    <n v="0"/>
  </r>
  <r>
    <n v="211"/>
    <s v="CA-2018-135860"/>
    <x v="96"/>
    <x v="98"/>
    <x v="2"/>
    <x v="1"/>
    <x v="197"/>
    <n v="91.99"/>
    <n v="1"/>
    <n v="3.6795999999999935"/>
    <n v="0"/>
  </r>
  <r>
    <n v="212"/>
    <s v="CA-2016-101007"/>
    <x v="97"/>
    <x v="99"/>
    <x v="2"/>
    <x v="2"/>
    <x v="198"/>
    <n v="20.8"/>
    <n v="2"/>
    <n v="6.4999999999999991"/>
    <n v="0.2"/>
  </r>
  <r>
    <n v="213"/>
    <s v="CA-2016-146262"/>
    <x v="98"/>
    <x v="100"/>
    <x v="3"/>
    <x v="1"/>
    <x v="199"/>
    <n v="23.680000000000003"/>
    <n v="2"/>
    <n v="8.879999999999999"/>
    <n v="0.2"/>
  </r>
  <r>
    <n v="214"/>
    <s v="CA-2016-146262"/>
    <x v="98"/>
    <x v="100"/>
    <x v="3"/>
    <x v="0"/>
    <x v="200"/>
    <n v="452.45"/>
    <n v="5"/>
    <n v="-244.32300000000006"/>
    <n v="0.5"/>
  </r>
  <r>
    <n v="215"/>
    <s v="CA-2016-146262"/>
    <x v="98"/>
    <x v="100"/>
    <x v="3"/>
    <x v="2"/>
    <x v="104"/>
    <n v="62.981999999999999"/>
    <n v="3"/>
    <n v="-14.695800000000006"/>
    <n v="0.4"/>
  </r>
  <r>
    <n v="216"/>
    <s v="CA-2016-146262"/>
    <x v="98"/>
    <x v="100"/>
    <x v="3"/>
    <x v="2"/>
    <x v="201"/>
    <n v="1188.0000000000002"/>
    <n v="9"/>
    <n v="-950.40000000000009"/>
    <n v="0.7"/>
  </r>
  <r>
    <n v="217"/>
    <s v="CA-2016-146262"/>
    <x v="98"/>
    <x v="100"/>
    <x v="3"/>
    <x v="2"/>
    <x v="202"/>
    <n v="89.584000000000003"/>
    <n v="2"/>
    <n v="4.4792000000000058"/>
    <n v="0.2"/>
  </r>
  <r>
    <n v="218"/>
    <s v="CA-2017-130162"/>
    <x v="99"/>
    <x v="101"/>
    <x v="1"/>
    <x v="1"/>
    <x v="178"/>
    <n v="93.06"/>
    <n v="6"/>
    <n v="26.056800000000003"/>
    <n v="0"/>
  </r>
  <r>
    <n v="219"/>
    <s v="CA-2017-130162"/>
    <x v="99"/>
    <x v="101"/>
    <x v="1"/>
    <x v="2"/>
    <x v="203"/>
    <n v="302.37599999999998"/>
    <n v="3"/>
    <n v="22.678200000000018"/>
    <n v="0.2"/>
  </r>
  <r>
    <n v="220"/>
    <s v="CA-2016-169397"/>
    <x v="100"/>
    <x v="102"/>
    <x v="3"/>
    <x v="1"/>
    <x v="204"/>
    <n v="5.5840000000000005"/>
    <n v="2"/>
    <n v="1.8147999999999997"/>
    <n v="0.2"/>
  </r>
  <r>
    <n v="221"/>
    <s v="CA-2016-169397"/>
    <x v="100"/>
    <x v="102"/>
    <x v="3"/>
    <x v="1"/>
    <x v="205"/>
    <n v="22.704000000000004"/>
    <n v="6"/>
    <n v="8.2302"/>
    <n v="0.2"/>
  </r>
  <r>
    <n v="222"/>
    <s v="CA-2016-169397"/>
    <x v="100"/>
    <x v="102"/>
    <x v="3"/>
    <x v="1"/>
    <x v="91"/>
    <n v="19.776000000000003"/>
    <n v="4"/>
    <n v="-13.843199999999996"/>
    <n v="0.7"/>
  </r>
  <r>
    <n v="223"/>
    <s v="CA-2016-169397"/>
    <x v="100"/>
    <x v="102"/>
    <x v="3"/>
    <x v="0"/>
    <x v="206"/>
    <n v="72.703999999999994"/>
    <n v="4"/>
    <n v="19.084800000000005"/>
    <n v="0.2"/>
  </r>
  <r>
    <n v="224"/>
    <s v="CA-2016-169397"/>
    <x v="100"/>
    <x v="102"/>
    <x v="3"/>
    <x v="2"/>
    <x v="207"/>
    <n v="479.98800000000006"/>
    <n v="4"/>
    <n v="-383.99040000000002"/>
    <n v="0.7"/>
  </r>
  <r>
    <n v="225"/>
    <s v="CA-2016-169397"/>
    <x v="100"/>
    <x v="102"/>
    <x v="3"/>
    <x v="1"/>
    <x v="208"/>
    <n v="27.168000000000003"/>
    <n v="2"/>
    <n v="2.7168000000000001"/>
    <n v="0.2"/>
  </r>
  <r>
    <n v="226"/>
    <s v="CA-2016-163055"/>
    <x v="101"/>
    <x v="103"/>
    <x v="2"/>
    <x v="1"/>
    <x v="209"/>
    <n v="2.2000000000000002"/>
    <n v="1"/>
    <n v="0.96800000000000019"/>
    <n v="0"/>
  </r>
  <r>
    <n v="227"/>
    <s v="CA-2016-163055"/>
    <x v="101"/>
    <x v="103"/>
    <x v="2"/>
    <x v="0"/>
    <x v="210"/>
    <n v="622.44999999999993"/>
    <n v="5"/>
    <n v="136.93899999999999"/>
    <n v="0"/>
  </r>
  <r>
    <n v="228"/>
    <s v="CA-2016-163055"/>
    <x v="101"/>
    <x v="103"/>
    <x v="2"/>
    <x v="1"/>
    <x v="211"/>
    <n v="21.98"/>
    <n v="1"/>
    <n v="0.21979999999999933"/>
    <n v="0"/>
  </r>
  <r>
    <n v="229"/>
    <s v="US-2016-145436"/>
    <x v="102"/>
    <x v="104"/>
    <x v="0"/>
    <x v="0"/>
    <x v="212"/>
    <n v="161.56800000000001"/>
    <n v="2"/>
    <n v="-28.274400000000021"/>
    <n v="0.2"/>
  </r>
  <r>
    <n v="230"/>
    <s v="US-2016-145436"/>
    <x v="102"/>
    <x v="104"/>
    <x v="0"/>
    <x v="0"/>
    <x v="213"/>
    <n v="389.69600000000003"/>
    <n v="8"/>
    <n v="43.840799999999973"/>
    <n v="0.2"/>
  </r>
  <r>
    <n v="231"/>
    <s v="US-2015-156216"/>
    <x v="103"/>
    <x v="105"/>
    <x v="0"/>
    <x v="1"/>
    <x v="214"/>
    <n v="18.648000000000003"/>
    <n v="7"/>
    <n v="-12.431999999999999"/>
    <n v="0.7"/>
  </r>
  <r>
    <n v="232"/>
    <s v="US-2018-100930"/>
    <x v="104"/>
    <x v="37"/>
    <x v="0"/>
    <x v="0"/>
    <x v="215"/>
    <n v="233.86"/>
    <n v="2"/>
    <n v="-102.04800000000003"/>
    <n v="0.45"/>
  </r>
  <r>
    <n v="233"/>
    <s v="US-2018-100930"/>
    <x v="104"/>
    <x v="37"/>
    <x v="0"/>
    <x v="0"/>
    <x v="216"/>
    <n v="620.61450000000013"/>
    <n v="3"/>
    <n v="-248.24579999999992"/>
    <n v="0.45"/>
  </r>
  <r>
    <n v="234"/>
    <s v="US-2018-100930"/>
    <x v="104"/>
    <x v="37"/>
    <x v="0"/>
    <x v="1"/>
    <x v="214"/>
    <n v="5.3280000000000012"/>
    <n v="2"/>
    <n v="-3.5519999999999996"/>
    <n v="0.7"/>
  </r>
  <r>
    <n v="235"/>
    <s v="US-2018-100930"/>
    <x v="104"/>
    <x v="37"/>
    <x v="0"/>
    <x v="0"/>
    <x v="217"/>
    <n v="258.072"/>
    <n v="3"/>
    <n v="0"/>
    <n v="0.2"/>
  </r>
  <r>
    <n v="236"/>
    <s v="US-2018-100930"/>
    <x v="104"/>
    <x v="37"/>
    <x v="0"/>
    <x v="2"/>
    <x v="218"/>
    <n v="617.97600000000011"/>
    <n v="3"/>
    <n v="-7.724700000000098"/>
    <n v="0.2"/>
  </r>
  <r>
    <n v="237"/>
    <s v="CA-2018-160514"/>
    <x v="105"/>
    <x v="106"/>
    <x v="1"/>
    <x v="1"/>
    <x v="219"/>
    <n v="10.56"/>
    <n v="2"/>
    <n v="4.7519999999999998"/>
    <n v="0"/>
  </r>
  <r>
    <n v="238"/>
    <s v="CA-2017-157749"/>
    <x v="30"/>
    <x v="107"/>
    <x v="2"/>
    <x v="1"/>
    <x v="220"/>
    <n v="25.920000000000005"/>
    <n v="5"/>
    <n v="9.3960000000000008"/>
    <n v="0.2"/>
  </r>
  <r>
    <n v="239"/>
    <s v="CA-2017-157749"/>
    <x v="30"/>
    <x v="107"/>
    <x v="2"/>
    <x v="0"/>
    <x v="221"/>
    <n v="419.68000000000006"/>
    <n v="5"/>
    <n v="-356.72799999999995"/>
    <n v="0.6"/>
  </r>
  <r>
    <n v="240"/>
    <s v="CA-2017-157749"/>
    <x v="30"/>
    <x v="107"/>
    <x v="2"/>
    <x v="0"/>
    <x v="222"/>
    <n v="11.688000000000001"/>
    <n v="3"/>
    <n v="-4.6751999999999985"/>
    <n v="0.6"/>
  </r>
  <r>
    <n v="241"/>
    <s v="CA-2017-157749"/>
    <x v="30"/>
    <x v="107"/>
    <x v="2"/>
    <x v="2"/>
    <x v="223"/>
    <n v="31.983999999999998"/>
    <n v="2"/>
    <n v="11.194399999999998"/>
    <n v="0.2"/>
  </r>
  <r>
    <n v="242"/>
    <s v="CA-2017-157749"/>
    <x v="30"/>
    <x v="107"/>
    <x v="2"/>
    <x v="0"/>
    <x v="224"/>
    <n v="177.22499999999999"/>
    <n v="5"/>
    <n v="-120.51299999999998"/>
    <n v="0.5"/>
  </r>
  <r>
    <n v="243"/>
    <s v="CA-2017-157749"/>
    <x v="30"/>
    <x v="107"/>
    <x v="2"/>
    <x v="0"/>
    <x v="225"/>
    <n v="4.0440000000000005"/>
    <n v="3"/>
    <n v="-2.8307999999999995"/>
    <n v="0.6"/>
  </r>
  <r>
    <n v="244"/>
    <s v="CA-2017-157749"/>
    <x v="30"/>
    <x v="107"/>
    <x v="2"/>
    <x v="1"/>
    <x v="183"/>
    <n v="7.4080000000000004"/>
    <n v="2"/>
    <n v="1.2037999999999995"/>
    <n v="0.2"/>
  </r>
  <r>
    <n v="245"/>
    <s v="CA-2015-131926"/>
    <x v="106"/>
    <x v="108"/>
    <x v="2"/>
    <x v="0"/>
    <x v="120"/>
    <n v="2001.8600000000001"/>
    <n v="7"/>
    <n v="580.53939999999989"/>
    <n v="0"/>
  </r>
  <r>
    <n v="246"/>
    <s v="CA-2015-131926"/>
    <x v="106"/>
    <x v="108"/>
    <x v="2"/>
    <x v="1"/>
    <x v="226"/>
    <n v="166.72"/>
    <n v="2"/>
    <n v="41.680000000000007"/>
    <n v="0"/>
  </r>
  <r>
    <n v="247"/>
    <s v="CA-2015-131926"/>
    <x v="106"/>
    <x v="108"/>
    <x v="2"/>
    <x v="1"/>
    <x v="227"/>
    <n v="47.88"/>
    <n v="6"/>
    <n v="23.94"/>
    <n v="0"/>
  </r>
  <r>
    <n v="248"/>
    <s v="CA-2015-131926"/>
    <x v="106"/>
    <x v="108"/>
    <x v="2"/>
    <x v="1"/>
    <x v="228"/>
    <n v="1503.25"/>
    <n v="5"/>
    <n v="496.07249999999993"/>
    <n v="0"/>
  </r>
  <r>
    <n v="249"/>
    <s v="CA-2015-131926"/>
    <x v="106"/>
    <x v="108"/>
    <x v="2"/>
    <x v="1"/>
    <x v="181"/>
    <n v="25.92"/>
    <n v="4"/>
    <n v="12.441600000000001"/>
    <n v="0"/>
  </r>
  <r>
    <n v="250"/>
    <s v="CA-2017-154739"/>
    <x v="107"/>
    <x v="109"/>
    <x v="1"/>
    <x v="0"/>
    <x v="229"/>
    <n v="321.56799999999998"/>
    <n v="2"/>
    <n v="28.137200000000007"/>
    <n v="0.2"/>
  </r>
  <r>
    <n v="251"/>
    <s v="CA-2017-145625"/>
    <x v="108"/>
    <x v="110"/>
    <x v="1"/>
    <x v="1"/>
    <x v="230"/>
    <n v="7.61"/>
    <n v="1"/>
    <n v="3.5766999999999998"/>
    <n v="0"/>
  </r>
  <r>
    <n v="252"/>
    <s v="CA-2017-145625"/>
    <x v="108"/>
    <x v="110"/>
    <x v="1"/>
    <x v="2"/>
    <x v="218"/>
    <n v="3347.37"/>
    <n v="13"/>
    <n v="636.0002999999997"/>
    <n v="0"/>
  </r>
  <r>
    <n v="253"/>
    <s v="CA-2017-146941"/>
    <x v="107"/>
    <x v="111"/>
    <x v="3"/>
    <x v="1"/>
    <x v="231"/>
    <n v="80.58"/>
    <n v="6"/>
    <n v="22.562400000000004"/>
    <n v="0"/>
  </r>
  <r>
    <n v="254"/>
    <s v="CA-2017-146941"/>
    <x v="107"/>
    <x v="111"/>
    <x v="3"/>
    <x v="1"/>
    <x v="232"/>
    <n v="361.92"/>
    <n v="4"/>
    <n v="162.864"/>
    <n v="0"/>
  </r>
  <r>
    <n v="255"/>
    <s v="US-2016-159982"/>
    <x v="109"/>
    <x v="112"/>
    <x v="2"/>
    <x v="0"/>
    <x v="225"/>
    <n v="12.132000000000001"/>
    <n v="9"/>
    <n v="-8.4923999999999982"/>
    <n v="0.6"/>
  </r>
  <r>
    <n v="256"/>
    <s v="US-2016-159982"/>
    <x v="109"/>
    <x v="112"/>
    <x v="2"/>
    <x v="1"/>
    <x v="233"/>
    <n v="82.367999999999995"/>
    <n v="2"/>
    <n v="-19.562399999999997"/>
    <n v="0.2"/>
  </r>
  <r>
    <n v="257"/>
    <s v="US-2016-159982"/>
    <x v="109"/>
    <x v="112"/>
    <x v="2"/>
    <x v="1"/>
    <x v="147"/>
    <n v="53.92"/>
    <n v="5"/>
    <n v="4.0439999999999969"/>
    <n v="0.2"/>
  </r>
  <r>
    <n v="258"/>
    <s v="US-2016-159982"/>
    <x v="109"/>
    <x v="112"/>
    <x v="2"/>
    <x v="2"/>
    <x v="234"/>
    <n v="647.904"/>
    <n v="6"/>
    <n v="56.691599999999966"/>
    <n v="0.2"/>
  </r>
  <r>
    <n v="259"/>
    <s v="CA-2018-163139"/>
    <x v="96"/>
    <x v="113"/>
    <x v="3"/>
    <x v="2"/>
    <x v="235"/>
    <n v="20.37"/>
    <n v="3"/>
    <n v="6.9258000000000006"/>
    <n v="0"/>
  </r>
  <r>
    <n v="260"/>
    <s v="CA-2018-163139"/>
    <x v="96"/>
    <x v="113"/>
    <x v="3"/>
    <x v="1"/>
    <x v="236"/>
    <n v="221.54999999999998"/>
    <n v="3"/>
    <n v="6.6465000000000174"/>
    <n v="0"/>
  </r>
  <r>
    <n v="261"/>
    <s v="CA-2018-163139"/>
    <x v="96"/>
    <x v="113"/>
    <x v="3"/>
    <x v="1"/>
    <x v="237"/>
    <n v="17.52"/>
    <n v="5"/>
    <n v="6.1319999999999988"/>
    <n v="0.2"/>
  </r>
  <r>
    <n v="262"/>
    <s v="US-2018-155299"/>
    <x v="110"/>
    <x v="114"/>
    <x v="2"/>
    <x v="1"/>
    <x v="238"/>
    <n v="1.6239999999999994"/>
    <n v="2"/>
    <n v="-4.4660000000000002"/>
    <n v="0.8"/>
  </r>
  <r>
    <n v="263"/>
    <s v="US-2015-106992"/>
    <x v="111"/>
    <x v="115"/>
    <x v="2"/>
    <x v="2"/>
    <x v="156"/>
    <n v="3059.982"/>
    <n v="3"/>
    <n v="-509.99700000000075"/>
    <n v="0.4"/>
  </r>
  <r>
    <n v="264"/>
    <s v="US-2015-106992"/>
    <x v="111"/>
    <x v="115"/>
    <x v="2"/>
    <x v="2"/>
    <x v="239"/>
    <n v="2519.9579999999996"/>
    <n v="7"/>
    <n v="-251.99579999999992"/>
    <n v="0.4"/>
  </r>
  <r>
    <n v="265"/>
    <s v="CA-2017-125318"/>
    <x v="112"/>
    <x v="116"/>
    <x v="2"/>
    <x v="2"/>
    <x v="240"/>
    <n v="328.22399999999999"/>
    <n v="4"/>
    <n v="28.7196"/>
    <n v="0.2"/>
  </r>
  <r>
    <n v="266"/>
    <s v="CA-2016-155040"/>
    <x v="113"/>
    <x v="117"/>
    <x v="1"/>
    <x v="2"/>
    <x v="241"/>
    <n v="79.900000000000006"/>
    <n v="2"/>
    <n v="35.156000000000006"/>
    <n v="0"/>
  </r>
  <r>
    <n v="267"/>
    <s v="CA-2018-136826"/>
    <x v="114"/>
    <x v="118"/>
    <x v="0"/>
    <x v="1"/>
    <x v="242"/>
    <n v="14.015999999999998"/>
    <n v="3"/>
    <n v="4.7303999999999995"/>
    <n v="0.2"/>
  </r>
  <r>
    <n v="268"/>
    <s v="CA-2017-111010"/>
    <x v="115"/>
    <x v="38"/>
    <x v="3"/>
    <x v="1"/>
    <x v="243"/>
    <n v="7.5600000000000005"/>
    <n v="6"/>
    <n v="0.3024"/>
    <n v="0"/>
  </r>
  <r>
    <n v="269"/>
    <s v="US-2018-145366"/>
    <x v="34"/>
    <x v="119"/>
    <x v="3"/>
    <x v="1"/>
    <x v="244"/>
    <n v="37.207999999999998"/>
    <n v="1"/>
    <n v="-7.4416000000000011"/>
    <n v="0.2"/>
  </r>
  <r>
    <n v="270"/>
    <s v="US-2018-145366"/>
    <x v="34"/>
    <x v="119"/>
    <x v="3"/>
    <x v="1"/>
    <x v="245"/>
    <n v="57.576000000000001"/>
    <n v="3"/>
    <n v="21.591000000000001"/>
    <n v="0.2"/>
  </r>
  <r>
    <n v="271"/>
    <s v="CA-2018-163979"/>
    <x v="116"/>
    <x v="120"/>
    <x v="1"/>
    <x v="1"/>
    <x v="246"/>
    <n v="725.84"/>
    <n v="4"/>
    <n v="210.4935999999999"/>
    <n v="0"/>
  </r>
  <r>
    <n v="272"/>
    <s v="CA-2016-155334"/>
    <x v="117"/>
    <x v="66"/>
    <x v="1"/>
    <x v="2"/>
    <x v="247"/>
    <n v="209.92999999999998"/>
    <n v="7"/>
    <n v="92.369200000000021"/>
    <n v="0"/>
  </r>
  <r>
    <n v="273"/>
    <s v="CA-2016-155334"/>
    <x v="117"/>
    <x v="66"/>
    <x v="1"/>
    <x v="0"/>
    <x v="248"/>
    <n v="5.28"/>
    <n v="3"/>
    <n v="2.3232000000000004"/>
    <n v="0"/>
  </r>
  <r>
    <n v="274"/>
    <s v="CA-2016-155334"/>
    <x v="117"/>
    <x v="66"/>
    <x v="1"/>
    <x v="1"/>
    <x v="249"/>
    <n v="10.92"/>
    <n v="3"/>
    <n v="4.0949999999999989"/>
    <n v="0.2"/>
  </r>
  <r>
    <n v="275"/>
    <s v="CA-2018-118136"/>
    <x v="118"/>
    <x v="121"/>
    <x v="1"/>
    <x v="1"/>
    <x v="250"/>
    <n v="8.82"/>
    <n v="2"/>
    <n v="4.0571999999999999"/>
    <n v="0"/>
  </r>
  <r>
    <n v="276"/>
    <s v="CA-2018-118136"/>
    <x v="118"/>
    <x v="121"/>
    <x v="1"/>
    <x v="1"/>
    <x v="251"/>
    <n v="5.98"/>
    <n v="1"/>
    <n v="1.5548000000000002"/>
    <n v="0"/>
  </r>
  <r>
    <n v="277"/>
    <s v="CA-2018-132976"/>
    <x v="119"/>
    <x v="122"/>
    <x v="3"/>
    <x v="1"/>
    <x v="252"/>
    <n v="11.648000000000001"/>
    <n v="2"/>
    <n v="4.0768000000000004"/>
    <n v="0.2"/>
  </r>
  <r>
    <n v="278"/>
    <s v="CA-2018-132976"/>
    <x v="119"/>
    <x v="122"/>
    <x v="3"/>
    <x v="1"/>
    <x v="253"/>
    <n v="18.175999999999998"/>
    <n v="4"/>
    <n v="5.9071999999999987"/>
    <n v="0.2"/>
  </r>
  <r>
    <n v="279"/>
    <s v="CA-2018-132976"/>
    <x v="119"/>
    <x v="122"/>
    <x v="3"/>
    <x v="1"/>
    <x v="254"/>
    <n v="59.712000000000003"/>
    <n v="6"/>
    <n v="5.9711999999999996"/>
    <n v="0.2"/>
  </r>
  <r>
    <n v="280"/>
    <s v="CA-2018-132976"/>
    <x v="119"/>
    <x v="122"/>
    <x v="3"/>
    <x v="1"/>
    <x v="255"/>
    <n v="24.839999999999996"/>
    <n v="3"/>
    <n v="8.6940000000000008"/>
    <n v="0.2"/>
  </r>
  <r>
    <n v="281"/>
    <s v="US-2016-161991"/>
    <x v="120"/>
    <x v="56"/>
    <x v="2"/>
    <x v="1"/>
    <x v="256"/>
    <n v="2.0799999999999996"/>
    <n v="5"/>
    <n v="-3.4320000000000004"/>
    <n v="0.8"/>
  </r>
  <r>
    <n v="282"/>
    <s v="US-2016-161991"/>
    <x v="120"/>
    <x v="56"/>
    <x v="2"/>
    <x v="2"/>
    <x v="257"/>
    <n v="1114.4000000000001"/>
    <n v="7"/>
    <n v="376.11"/>
    <n v="0.2"/>
  </r>
  <r>
    <n v="283"/>
    <s v="CA-2016-130890"/>
    <x v="121"/>
    <x v="123"/>
    <x v="1"/>
    <x v="0"/>
    <x v="258"/>
    <n v="1038.8399999999999"/>
    <n v="5"/>
    <n v="51.942000000000007"/>
    <n v="0.2"/>
  </r>
  <r>
    <n v="284"/>
    <s v="CA-2016-130883"/>
    <x v="120"/>
    <x v="14"/>
    <x v="1"/>
    <x v="1"/>
    <x v="33"/>
    <n v="141.76"/>
    <n v="5"/>
    <n v="47.843999999999994"/>
    <n v="0.2"/>
  </r>
  <r>
    <n v="285"/>
    <s v="CA-2016-130883"/>
    <x v="120"/>
    <x v="14"/>
    <x v="1"/>
    <x v="2"/>
    <x v="259"/>
    <n v="239.80000000000004"/>
    <n v="5"/>
    <n v="47.959999999999987"/>
    <n v="0.2"/>
  </r>
  <r>
    <n v="286"/>
    <s v="CA-2016-130883"/>
    <x v="120"/>
    <x v="14"/>
    <x v="1"/>
    <x v="1"/>
    <x v="260"/>
    <n v="31.104000000000006"/>
    <n v="6"/>
    <n v="10.8864"/>
    <n v="0.2"/>
  </r>
  <r>
    <n v="287"/>
    <s v="CA-2017-112697"/>
    <x v="122"/>
    <x v="124"/>
    <x v="0"/>
    <x v="1"/>
    <x v="261"/>
    <n v="254.05800000000002"/>
    <n v="7"/>
    <n v="-169.3719999999999"/>
    <n v="0.7"/>
  </r>
  <r>
    <n v="288"/>
    <s v="CA-2017-112697"/>
    <x v="122"/>
    <x v="124"/>
    <x v="0"/>
    <x v="1"/>
    <x v="167"/>
    <n v="194.52800000000002"/>
    <n v="2"/>
    <n v="24.315999999999974"/>
    <n v="0.2"/>
  </r>
  <r>
    <n v="289"/>
    <s v="CA-2017-112697"/>
    <x v="122"/>
    <x v="124"/>
    <x v="0"/>
    <x v="1"/>
    <x v="262"/>
    <n v="961.48000000000013"/>
    <n v="5"/>
    <n v="-204.31449999999995"/>
    <n v="0.2"/>
  </r>
  <r>
    <n v="290"/>
    <s v="CA-2017-110772"/>
    <x v="73"/>
    <x v="125"/>
    <x v="3"/>
    <x v="1"/>
    <x v="263"/>
    <n v="19.096"/>
    <n v="7"/>
    <n v="6.6835999999999993"/>
    <n v="0.2"/>
  </r>
  <r>
    <n v="291"/>
    <s v="CA-2017-110772"/>
    <x v="73"/>
    <x v="125"/>
    <x v="3"/>
    <x v="1"/>
    <x v="264"/>
    <n v="18.496000000000002"/>
    <n v="8"/>
    <n v="6.2423999999999999"/>
    <n v="0.2"/>
  </r>
  <r>
    <n v="292"/>
    <s v="CA-2017-110772"/>
    <x v="73"/>
    <x v="125"/>
    <x v="3"/>
    <x v="2"/>
    <x v="265"/>
    <n v="255.98400000000004"/>
    <n v="2"/>
    <n v="54.396600000000007"/>
    <n v="0.2"/>
  </r>
  <r>
    <n v="293"/>
    <s v="CA-2017-110772"/>
    <x v="73"/>
    <x v="125"/>
    <x v="3"/>
    <x v="0"/>
    <x v="266"/>
    <n v="86.97"/>
    <n v="3"/>
    <n v="-48.703199999999995"/>
    <n v="0.5"/>
  </r>
  <r>
    <n v="294"/>
    <s v="CA-2015-111451"/>
    <x v="58"/>
    <x v="126"/>
    <x v="1"/>
    <x v="0"/>
    <x v="267"/>
    <n v="300.416"/>
    <n v="8"/>
    <n v="78.859200000000001"/>
    <n v="0.2"/>
  </r>
  <r>
    <n v="295"/>
    <s v="CA-2015-111451"/>
    <x v="58"/>
    <x v="126"/>
    <x v="1"/>
    <x v="0"/>
    <x v="268"/>
    <n v="230.35200000000003"/>
    <n v="3"/>
    <n v="20.155800000000013"/>
    <n v="0.2"/>
  </r>
  <r>
    <n v="296"/>
    <s v="CA-2015-111451"/>
    <x v="58"/>
    <x v="126"/>
    <x v="1"/>
    <x v="0"/>
    <x v="269"/>
    <n v="218.35200000000003"/>
    <n v="3"/>
    <n v="-24.564599999999999"/>
    <n v="0.2"/>
  </r>
  <r>
    <n v="297"/>
    <s v="CA-2015-111451"/>
    <x v="58"/>
    <x v="126"/>
    <x v="1"/>
    <x v="1"/>
    <x v="270"/>
    <n v="78.600000000000009"/>
    <n v="5"/>
    <n v="-62.88000000000001"/>
    <n v="0.7"/>
  </r>
  <r>
    <n v="298"/>
    <s v="CA-2015-111451"/>
    <x v="58"/>
    <x v="126"/>
    <x v="1"/>
    <x v="1"/>
    <x v="271"/>
    <n v="27.552000000000003"/>
    <n v="3"/>
    <n v="9.2987999999999964"/>
    <n v="0.2"/>
  </r>
  <r>
    <n v="299"/>
    <s v="CA-2017-142545"/>
    <x v="99"/>
    <x v="63"/>
    <x v="3"/>
    <x v="1"/>
    <x v="272"/>
    <n v="32.400000000000006"/>
    <n v="5"/>
    <n v="15.552000000000001"/>
    <n v="0"/>
  </r>
  <r>
    <n v="300"/>
    <s v="CA-2017-142545"/>
    <x v="99"/>
    <x v="63"/>
    <x v="3"/>
    <x v="1"/>
    <x v="273"/>
    <n v="1082.48"/>
    <n v="8"/>
    <n v="10.8248000000000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FFDC4-62A0-4BFE-855D-8FF34F7760F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4">
    <pivotField showAll="0"/>
    <pivotField showAll="0"/>
    <pivotField numFmtId="14" showAll="0">
      <items count="124">
        <item x="72"/>
        <item x="90"/>
        <item x="8"/>
        <item x="106"/>
        <item x="3"/>
        <item x="93"/>
        <item x="79"/>
        <item x="55"/>
        <item x="86"/>
        <item x="9"/>
        <item x="78"/>
        <item x="103"/>
        <item x="80"/>
        <item x="111"/>
        <item x="59"/>
        <item x="36"/>
        <item x="22"/>
        <item x="68"/>
        <item x="7"/>
        <item x="84"/>
        <item x="35"/>
        <item x="29"/>
        <item x="58"/>
        <item x="98"/>
        <item x="43"/>
        <item x="97"/>
        <item x="102"/>
        <item x="56"/>
        <item x="57"/>
        <item x="24"/>
        <item x="33"/>
        <item x="28"/>
        <item x="71"/>
        <item x="70"/>
        <item x="117"/>
        <item x="101"/>
        <item x="37"/>
        <item x="67"/>
        <item x="14"/>
        <item x="12"/>
        <item x="120"/>
        <item x="2"/>
        <item x="88"/>
        <item x="52"/>
        <item x="89"/>
        <item x="121"/>
        <item x="113"/>
        <item x="50"/>
        <item x="82"/>
        <item x="6"/>
        <item x="27"/>
        <item x="109"/>
        <item x="83"/>
        <item x="100"/>
        <item x="17"/>
        <item x="75"/>
        <item x="13"/>
        <item x="115"/>
        <item x="21"/>
        <item x="69"/>
        <item x="41"/>
        <item x="74"/>
        <item x="30"/>
        <item x="112"/>
        <item x="1"/>
        <item x="26"/>
        <item x="23"/>
        <item x="87"/>
        <item x="19"/>
        <item x="48"/>
        <item x="64"/>
        <item x="47"/>
        <item x="108"/>
        <item x="42"/>
        <item x="31"/>
        <item x="63"/>
        <item x="99"/>
        <item x="54"/>
        <item x="61"/>
        <item x="77"/>
        <item x="0"/>
        <item x="76"/>
        <item x="73"/>
        <item x="85"/>
        <item x="49"/>
        <item x="5"/>
        <item x="16"/>
        <item x="10"/>
        <item x="107"/>
        <item x="25"/>
        <item x="122"/>
        <item x="62"/>
        <item x="104"/>
        <item x="4"/>
        <item x="81"/>
        <item x="39"/>
        <item x="95"/>
        <item x="110"/>
        <item x="114"/>
        <item x="46"/>
        <item x="92"/>
        <item x="91"/>
        <item x="11"/>
        <item x="18"/>
        <item x="32"/>
        <item x="118"/>
        <item x="65"/>
        <item x="20"/>
        <item x="119"/>
        <item x="15"/>
        <item x="40"/>
        <item x="60"/>
        <item x="44"/>
        <item x="45"/>
        <item x="105"/>
        <item x="38"/>
        <item x="51"/>
        <item x="96"/>
        <item x="34"/>
        <item x="94"/>
        <item x="66"/>
        <item x="53"/>
        <item x="116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39A79-2F82-4994-9700-6F88E57F311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14">
    <pivotField showAll="0"/>
    <pivotField showAll="0"/>
    <pivotField numFmtId="14" showAll="0">
      <items count="124">
        <item x="72"/>
        <item x="90"/>
        <item x="8"/>
        <item x="106"/>
        <item x="3"/>
        <item x="93"/>
        <item x="79"/>
        <item x="55"/>
        <item x="86"/>
        <item x="9"/>
        <item x="78"/>
        <item x="103"/>
        <item x="80"/>
        <item x="111"/>
        <item x="59"/>
        <item x="36"/>
        <item x="22"/>
        <item x="68"/>
        <item x="7"/>
        <item x="84"/>
        <item x="35"/>
        <item x="29"/>
        <item x="58"/>
        <item x="98"/>
        <item x="43"/>
        <item x="97"/>
        <item x="102"/>
        <item x="56"/>
        <item x="57"/>
        <item x="24"/>
        <item x="33"/>
        <item x="28"/>
        <item x="71"/>
        <item x="70"/>
        <item x="117"/>
        <item x="101"/>
        <item x="37"/>
        <item x="67"/>
        <item x="14"/>
        <item x="12"/>
        <item x="120"/>
        <item x="2"/>
        <item x="88"/>
        <item x="52"/>
        <item x="89"/>
        <item x="121"/>
        <item x="113"/>
        <item x="50"/>
        <item x="82"/>
        <item x="6"/>
        <item x="27"/>
        <item x="109"/>
        <item x="83"/>
        <item x="100"/>
        <item x="17"/>
        <item x="75"/>
        <item x="13"/>
        <item x="115"/>
        <item x="21"/>
        <item x="69"/>
        <item x="41"/>
        <item x="74"/>
        <item x="30"/>
        <item x="112"/>
        <item x="1"/>
        <item x="26"/>
        <item x="23"/>
        <item x="87"/>
        <item x="19"/>
        <item x="48"/>
        <item x="64"/>
        <item x="47"/>
        <item x="108"/>
        <item x="42"/>
        <item x="31"/>
        <item x="63"/>
        <item x="99"/>
        <item x="54"/>
        <item x="61"/>
        <item x="77"/>
        <item x="0"/>
        <item x="76"/>
        <item x="73"/>
        <item x="85"/>
        <item x="49"/>
        <item x="5"/>
        <item x="16"/>
        <item x="10"/>
        <item x="107"/>
        <item x="25"/>
        <item x="122"/>
        <item x="62"/>
        <item x="104"/>
        <item x="4"/>
        <item x="81"/>
        <item x="39"/>
        <item x="95"/>
        <item x="110"/>
        <item x="114"/>
        <item x="46"/>
        <item x="92"/>
        <item x="91"/>
        <item x="11"/>
        <item x="18"/>
        <item x="32"/>
        <item x="118"/>
        <item x="65"/>
        <item x="20"/>
        <item x="119"/>
        <item x="15"/>
        <item x="40"/>
        <item x="60"/>
        <item x="44"/>
        <item x="45"/>
        <item x="105"/>
        <item x="38"/>
        <item x="51"/>
        <item x="96"/>
        <item x="34"/>
        <item x="94"/>
        <item x="66"/>
        <item x="53"/>
        <item x="116"/>
        <item t="default"/>
      </items>
    </pivotField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F3AC2-D3D6-42AA-BB0E-D4D80D803AB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14">
    <pivotField showAll="0"/>
    <pivotField showAll="0"/>
    <pivotField axis="axisRow" numFmtId="14" showAll="0">
      <items count="124">
        <item x="72"/>
        <item x="90"/>
        <item x="8"/>
        <item x="106"/>
        <item x="3"/>
        <item x="93"/>
        <item x="79"/>
        <item x="55"/>
        <item x="86"/>
        <item x="9"/>
        <item x="78"/>
        <item x="103"/>
        <item x="80"/>
        <item x="111"/>
        <item x="59"/>
        <item x="36"/>
        <item x="22"/>
        <item x="68"/>
        <item x="7"/>
        <item x="84"/>
        <item x="35"/>
        <item x="29"/>
        <item x="58"/>
        <item x="98"/>
        <item x="43"/>
        <item x="97"/>
        <item x="102"/>
        <item x="56"/>
        <item x="57"/>
        <item x="24"/>
        <item x="33"/>
        <item x="28"/>
        <item x="71"/>
        <item x="70"/>
        <item x="117"/>
        <item x="101"/>
        <item x="37"/>
        <item x="67"/>
        <item x="14"/>
        <item x="12"/>
        <item x="120"/>
        <item x="2"/>
        <item x="88"/>
        <item x="52"/>
        <item x="89"/>
        <item x="121"/>
        <item x="113"/>
        <item x="50"/>
        <item x="82"/>
        <item x="6"/>
        <item x="27"/>
        <item x="109"/>
        <item x="83"/>
        <item x="100"/>
        <item x="17"/>
        <item x="75"/>
        <item x="13"/>
        <item x="115"/>
        <item x="21"/>
        <item x="69"/>
        <item x="41"/>
        <item x="74"/>
        <item x="30"/>
        <item x="112"/>
        <item x="1"/>
        <item x="26"/>
        <item x="23"/>
        <item x="87"/>
        <item x="19"/>
        <item x="48"/>
        <item x="64"/>
        <item x="47"/>
        <item x="108"/>
        <item x="42"/>
        <item x="31"/>
        <item x="63"/>
        <item x="99"/>
        <item x="54"/>
        <item x="61"/>
        <item x="77"/>
        <item x="0"/>
        <item x="76"/>
        <item x="73"/>
        <item x="85"/>
        <item x="49"/>
        <item x="5"/>
        <item x="16"/>
        <item x="10"/>
        <item x="107"/>
        <item x="25"/>
        <item x="122"/>
        <item x="62"/>
        <item x="104"/>
        <item x="4"/>
        <item x="81"/>
        <item x="39"/>
        <item x="95"/>
        <item x="110"/>
        <item x="114"/>
        <item x="46"/>
        <item x="92"/>
        <item x="91"/>
        <item x="11"/>
        <item x="18"/>
        <item x="32"/>
        <item x="118"/>
        <item x="65"/>
        <item x="20"/>
        <item x="119"/>
        <item x="15"/>
        <item x="40"/>
        <item x="60"/>
        <item x="44"/>
        <item x="45"/>
        <item x="105"/>
        <item x="38"/>
        <item x="51"/>
        <item x="96"/>
        <item x="34"/>
        <item x="94"/>
        <item x="66"/>
        <item x="53"/>
        <item x="11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878AF-0773-4FD6-8ED4-0FC7589DDCD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3:B14" firstHeaderRow="1" firstDataRow="1" firstDataCol="1"/>
  <pivotFields count="14">
    <pivotField showAll="0"/>
    <pivotField showAll="0"/>
    <pivotField numFmtId="14" showAll="0">
      <items count="124">
        <item x="72"/>
        <item x="90"/>
        <item x="8"/>
        <item x="106"/>
        <item x="3"/>
        <item x="93"/>
        <item x="79"/>
        <item x="55"/>
        <item x="86"/>
        <item x="9"/>
        <item x="78"/>
        <item x="103"/>
        <item x="80"/>
        <item x="111"/>
        <item x="59"/>
        <item x="36"/>
        <item x="22"/>
        <item x="68"/>
        <item x="7"/>
        <item x="84"/>
        <item x="35"/>
        <item x="29"/>
        <item x="58"/>
        <item x="98"/>
        <item x="43"/>
        <item x="97"/>
        <item x="102"/>
        <item x="56"/>
        <item x="57"/>
        <item x="24"/>
        <item x="33"/>
        <item x="28"/>
        <item x="71"/>
        <item x="70"/>
        <item x="117"/>
        <item x="101"/>
        <item x="37"/>
        <item x="67"/>
        <item x="14"/>
        <item x="12"/>
        <item x="120"/>
        <item x="2"/>
        <item x="88"/>
        <item x="52"/>
        <item x="89"/>
        <item x="121"/>
        <item x="113"/>
        <item x="50"/>
        <item x="82"/>
        <item x="6"/>
        <item x="27"/>
        <item x="109"/>
        <item x="83"/>
        <item x="100"/>
        <item x="17"/>
        <item x="75"/>
        <item x="13"/>
        <item x="115"/>
        <item x="21"/>
        <item x="69"/>
        <item x="41"/>
        <item x="74"/>
        <item x="30"/>
        <item x="112"/>
        <item x="1"/>
        <item x="26"/>
        <item x="23"/>
        <item x="87"/>
        <item x="19"/>
        <item x="48"/>
        <item x="64"/>
        <item x="47"/>
        <item x="108"/>
        <item x="42"/>
        <item x="31"/>
        <item x="63"/>
        <item x="99"/>
        <item x="54"/>
        <item x="61"/>
        <item x="77"/>
        <item x="0"/>
        <item x="76"/>
        <item x="73"/>
        <item x="85"/>
        <item x="49"/>
        <item x="5"/>
        <item x="16"/>
        <item x="10"/>
        <item x="107"/>
        <item x="25"/>
        <item x="122"/>
        <item x="62"/>
        <item x="104"/>
        <item x="4"/>
        <item x="81"/>
        <item x="39"/>
        <item x="95"/>
        <item x="110"/>
        <item x="114"/>
        <item x="46"/>
        <item x="92"/>
        <item x="91"/>
        <item x="11"/>
        <item x="18"/>
        <item x="32"/>
        <item x="118"/>
        <item x="65"/>
        <item x="20"/>
        <item x="119"/>
        <item x="15"/>
        <item x="40"/>
        <item x="60"/>
        <item x="44"/>
        <item x="45"/>
        <item x="105"/>
        <item x="38"/>
        <item x="51"/>
        <item x="96"/>
        <item x="34"/>
        <item x="94"/>
        <item x="66"/>
        <item x="53"/>
        <item x="116"/>
        <item t="default"/>
      </items>
    </pivotField>
    <pivotField axis="axisRow" showAll="0" measureFilter="1" sortType="descending">
      <items count="128">
        <item x="57"/>
        <item x="124"/>
        <item x="117"/>
        <item x="8"/>
        <item x="87"/>
        <item x="4"/>
        <item x="122"/>
        <item x="121"/>
        <item x="78"/>
        <item x="29"/>
        <item x="3"/>
        <item x="94"/>
        <item x="90"/>
        <item x="79"/>
        <item x="119"/>
        <item x="37"/>
        <item x="0"/>
        <item x="118"/>
        <item x="52"/>
        <item x="113"/>
        <item x="51"/>
        <item x="112"/>
        <item x="24"/>
        <item x="1"/>
        <item x="72"/>
        <item x="54"/>
        <item x="106"/>
        <item x="83"/>
        <item x="103"/>
        <item x="111"/>
        <item x="108"/>
        <item x="61"/>
        <item x="114"/>
        <item x="35"/>
        <item x="45"/>
        <item x="12"/>
        <item x="13"/>
        <item x="75"/>
        <item x="105"/>
        <item x="20"/>
        <item x="86"/>
        <item x="92"/>
        <item x="39"/>
        <item x="47"/>
        <item x="16"/>
        <item x="55"/>
        <item x="6"/>
        <item x="96"/>
        <item x="66"/>
        <item x="31"/>
        <item x="5"/>
        <item x="49"/>
        <item x="25"/>
        <item x="123"/>
        <item x="80"/>
        <item x="82"/>
        <item x="40"/>
        <item x="32"/>
        <item x="63"/>
        <item x="101"/>
        <item x="102"/>
        <item x="98"/>
        <item x="36"/>
        <item x="68"/>
        <item x="30"/>
        <item x="41"/>
        <item x="44"/>
        <item x="110"/>
        <item x="126"/>
        <item x="10"/>
        <item x="33"/>
        <item x="107"/>
        <item x="120"/>
        <item x="27"/>
        <item x="97"/>
        <item x="48"/>
        <item x="62"/>
        <item x="23"/>
        <item x="18"/>
        <item x="60"/>
        <item x="95"/>
        <item x="109"/>
        <item x="93"/>
        <item x="88"/>
        <item x="89"/>
        <item x="15"/>
        <item x="67"/>
        <item x="77"/>
        <item x="99"/>
        <item x="71"/>
        <item x="125"/>
        <item x="73"/>
        <item x="21"/>
        <item x="43"/>
        <item x="22"/>
        <item x="38"/>
        <item x="28"/>
        <item x="50"/>
        <item x="7"/>
        <item x="58"/>
        <item x="46"/>
        <item x="84"/>
        <item x="42"/>
        <item x="116"/>
        <item x="19"/>
        <item x="76"/>
        <item x="53"/>
        <item x="64"/>
        <item x="85"/>
        <item x="11"/>
        <item x="65"/>
        <item x="115"/>
        <item x="2"/>
        <item x="81"/>
        <item x="70"/>
        <item x="17"/>
        <item x="56"/>
        <item x="34"/>
        <item x="69"/>
        <item x="26"/>
        <item x="74"/>
        <item x="14"/>
        <item x="59"/>
        <item x="104"/>
        <item x="91"/>
        <item x="10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1">
    <i>
      <x v="8"/>
    </i>
    <i>
      <x v="111"/>
    </i>
    <i>
      <x v="121"/>
    </i>
    <i>
      <x v="30"/>
    </i>
    <i>
      <x v="10"/>
    </i>
    <i>
      <x v="67"/>
    </i>
    <i>
      <x v="63"/>
    </i>
    <i>
      <x v="15"/>
    </i>
    <i>
      <x v="125"/>
    </i>
    <i>
      <x v="8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75D3-9EBD-4A82-9815-998E250FD52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9" firstHeaderRow="1" firstDataRow="1" firstDataCol="1"/>
  <pivotFields count="14">
    <pivotField showAll="0"/>
    <pivotField showAll="0"/>
    <pivotField numFmtId="14" showAll="0">
      <items count="124">
        <item x="72"/>
        <item x="90"/>
        <item x="8"/>
        <item x="106"/>
        <item x="3"/>
        <item x="93"/>
        <item x="79"/>
        <item x="55"/>
        <item x="86"/>
        <item x="9"/>
        <item x="78"/>
        <item x="103"/>
        <item x="80"/>
        <item x="111"/>
        <item x="59"/>
        <item x="36"/>
        <item x="22"/>
        <item x="68"/>
        <item x="7"/>
        <item x="84"/>
        <item x="35"/>
        <item x="29"/>
        <item x="58"/>
        <item x="98"/>
        <item x="43"/>
        <item x="97"/>
        <item x="102"/>
        <item x="56"/>
        <item x="57"/>
        <item x="24"/>
        <item x="33"/>
        <item x="28"/>
        <item x="71"/>
        <item x="70"/>
        <item x="117"/>
        <item x="101"/>
        <item x="37"/>
        <item x="67"/>
        <item x="14"/>
        <item x="12"/>
        <item x="120"/>
        <item x="2"/>
        <item x="88"/>
        <item x="52"/>
        <item x="89"/>
        <item x="121"/>
        <item x="113"/>
        <item x="50"/>
        <item x="82"/>
        <item x="6"/>
        <item x="27"/>
        <item x="109"/>
        <item x="83"/>
        <item x="100"/>
        <item x="17"/>
        <item x="75"/>
        <item x="13"/>
        <item x="115"/>
        <item x="21"/>
        <item x="69"/>
        <item x="41"/>
        <item x="74"/>
        <item x="30"/>
        <item x="112"/>
        <item x="1"/>
        <item x="26"/>
        <item x="23"/>
        <item x="87"/>
        <item x="19"/>
        <item x="48"/>
        <item x="64"/>
        <item x="47"/>
        <item x="108"/>
        <item x="42"/>
        <item x="31"/>
        <item x="63"/>
        <item x="99"/>
        <item x="54"/>
        <item x="61"/>
        <item x="77"/>
        <item x="0"/>
        <item x="76"/>
        <item x="73"/>
        <item x="85"/>
        <item x="49"/>
        <item x="5"/>
        <item x="16"/>
        <item x="10"/>
        <item x="107"/>
        <item x="25"/>
        <item x="122"/>
        <item x="62"/>
        <item x="104"/>
        <item x="4"/>
        <item x="81"/>
        <item x="39"/>
        <item x="95"/>
        <item x="110"/>
        <item x="114"/>
        <item x="46"/>
        <item x="92"/>
        <item x="91"/>
        <item x="11"/>
        <item x="18"/>
        <item x="32"/>
        <item x="118"/>
        <item x="65"/>
        <item x="20"/>
        <item x="119"/>
        <item x="15"/>
        <item x="40"/>
        <item x="60"/>
        <item x="44"/>
        <item x="45"/>
        <item x="105"/>
        <item x="38"/>
        <item x="51"/>
        <item x="96"/>
        <item x="34"/>
        <item x="94"/>
        <item x="66"/>
        <item x="53"/>
        <item x="116"/>
        <item t="default"/>
      </items>
    </pivotField>
    <pivotField showAll="0"/>
    <pivotField showAll="0"/>
    <pivotField showAll="0"/>
    <pivotField axis="axisRow" showAll="0" measureFilter="1">
      <items count="275">
        <item x="36"/>
        <item x="77"/>
        <item x="182"/>
        <item x="74"/>
        <item x="93"/>
        <item x="237"/>
        <item x="167"/>
        <item x="31"/>
        <item x="61"/>
        <item x="22"/>
        <item x="169"/>
        <item x="162"/>
        <item x="227"/>
        <item x="253"/>
        <item x="246"/>
        <item x="203"/>
        <item x="42"/>
        <item x="52"/>
        <item x="196"/>
        <item x="263"/>
        <item x="250"/>
        <item x="126"/>
        <item x="141"/>
        <item x="57"/>
        <item x="116"/>
        <item x="53"/>
        <item x="173"/>
        <item x="37"/>
        <item x="179"/>
        <item x="150"/>
        <item x="49"/>
        <item x="255"/>
        <item x="199"/>
        <item x="166"/>
        <item x="85"/>
        <item x="264"/>
        <item x="149"/>
        <item x="68"/>
        <item x="109"/>
        <item x="122"/>
        <item x="78"/>
        <item x="98"/>
        <item x="96"/>
        <item x="176"/>
        <item x="27"/>
        <item x="102"/>
        <item x="243"/>
        <item x="233"/>
        <item x="143"/>
        <item x="9"/>
        <item x="210"/>
        <item x="121"/>
        <item x="258"/>
        <item x="155"/>
        <item x="183"/>
        <item x="184"/>
        <item x="257"/>
        <item x="30"/>
        <item x="189"/>
        <item x="190"/>
        <item x="3"/>
        <item x="216"/>
        <item x="215"/>
        <item x="0"/>
        <item x="266"/>
        <item x="10"/>
        <item x="201"/>
        <item x="240"/>
        <item x="19"/>
        <item x="48"/>
        <item x="117"/>
        <item x="136"/>
        <item x="185"/>
        <item x="101"/>
        <item x="8"/>
        <item x="33"/>
        <item x="73"/>
        <item x="225"/>
        <item x="192"/>
        <item x="41"/>
        <item x="125"/>
        <item x="269"/>
        <item x="76"/>
        <item x="5"/>
        <item x="4"/>
        <item x="86"/>
        <item x="254"/>
        <item x="35"/>
        <item x="238"/>
        <item x="191"/>
        <item x="206"/>
        <item x="95"/>
        <item x="13"/>
        <item x="231"/>
        <item x="17"/>
        <item x="134"/>
        <item x="92"/>
        <item x="115"/>
        <item x="214"/>
        <item x="142"/>
        <item x="261"/>
        <item x="133"/>
        <item x="34"/>
        <item x="120"/>
        <item x="268"/>
        <item x="23"/>
        <item x="38"/>
        <item x="229"/>
        <item x="51"/>
        <item x="212"/>
        <item x="213"/>
        <item x="124"/>
        <item x="64"/>
        <item x="164"/>
        <item x="118"/>
        <item x="197"/>
        <item x="45"/>
        <item x="70"/>
        <item x="14"/>
        <item x="54"/>
        <item x="1"/>
        <item x="114"/>
        <item x="228"/>
        <item x="267"/>
        <item x="28"/>
        <item x="175"/>
        <item x="65"/>
        <item x="108"/>
        <item x="180"/>
        <item x="270"/>
        <item x="91"/>
        <item x="132"/>
        <item x="46"/>
        <item x="25"/>
        <item x="172"/>
        <item x="144"/>
        <item x="161"/>
        <item x="81"/>
        <item x="165"/>
        <item x="160"/>
        <item x="224"/>
        <item x="119"/>
        <item x="11"/>
        <item x="152"/>
        <item x="156"/>
        <item x="47"/>
        <item x="247"/>
        <item x="100"/>
        <item x="234"/>
        <item x="265"/>
        <item x="106"/>
        <item x="84"/>
        <item x="218"/>
        <item x="50"/>
        <item x="32"/>
        <item x="63"/>
        <item x="221"/>
        <item x="107"/>
        <item x="198"/>
        <item x="103"/>
        <item x="259"/>
        <item x="241"/>
        <item x="7"/>
        <item x="66"/>
        <item x="148"/>
        <item x="21"/>
        <item x="6"/>
        <item x="251"/>
        <item x="18"/>
        <item x="135"/>
        <item x="105"/>
        <item x="174"/>
        <item x="193"/>
        <item x="83"/>
        <item x="56"/>
        <item x="204"/>
        <item x="110"/>
        <item x="200"/>
        <item x="168"/>
        <item x="195"/>
        <item x="40"/>
        <item x="178"/>
        <item x="140"/>
        <item x="39"/>
        <item x="58"/>
        <item x="29"/>
        <item x="252"/>
        <item x="59"/>
        <item x="262"/>
        <item x="79"/>
        <item x="186"/>
        <item x="249"/>
        <item x="223"/>
        <item x="242"/>
        <item x="245"/>
        <item x="111"/>
        <item x="248"/>
        <item x="26"/>
        <item x="211"/>
        <item x="256"/>
        <item x="235"/>
        <item x="158"/>
        <item x="244"/>
        <item x="236"/>
        <item x="82"/>
        <item x="72"/>
        <item x="226"/>
        <item x="177"/>
        <item x="97"/>
        <item x="131"/>
        <item x="170"/>
        <item x="159"/>
        <item x="209"/>
        <item x="138"/>
        <item x="2"/>
        <item x="90"/>
        <item x="139"/>
        <item x="75"/>
        <item x="67"/>
        <item x="202"/>
        <item x="80"/>
        <item x="145"/>
        <item x="188"/>
        <item x="157"/>
        <item x="104"/>
        <item x="208"/>
        <item x="153"/>
        <item x="222"/>
        <item x="128"/>
        <item x="15"/>
        <item x="16"/>
        <item x="207"/>
        <item x="69"/>
        <item x="217"/>
        <item x="171"/>
        <item x="147"/>
        <item x="71"/>
        <item x="194"/>
        <item x="273"/>
        <item x="123"/>
        <item x="94"/>
        <item x="87"/>
        <item x="113"/>
        <item x="232"/>
        <item x="99"/>
        <item x="43"/>
        <item x="60"/>
        <item x="271"/>
        <item x="205"/>
        <item x="24"/>
        <item x="20"/>
        <item x="154"/>
        <item x="44"/>
        <item x="187"/>
        <item x="230"/>
        <item x="130"/>
        <item x="146"/>
        <item x="137"/>
        <item x="163"/>
        <item x="127"/>
        <item x="151"/>
        <item x="112"/>
        <item x="62"/>
        <item x="129"/>
        <item x="220"/>
        <item x="12"/>
        <item x="88"/>
        <item x="89"/>
        <item x="181"/>
        <item x="260"/>
        <item x="272"/>
        <item x="55"/>
        <item x="219"/>
        <item x="239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 v="103"/>
    </i>
    <i>
      <x v="120"/>
    </i>
    <i>
      <x v="144"/>
    </i>
    <i>
      <x v="152"/>
    </i>
    <i>
      <x v="197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29D0-AA52-4291-B1F0-E97A38ED7DAE}">
  <dimension ref="A3:B8"/>
  <sheetViews>
    <sheetView workbookViewId="0">
      <selection activeCell="A4" sqref="A4"/>
    </sheetView>
  </sheetViews>
  <sheetFormatPr defaultRowHeight="14.25" x14ac:dyDescent="0.45"/>
  <cols>
    <col min="1" max="1" width="10.19921875" bestFit="1" customWidth="1"/>
    <col min="2" max="2" width="11.06640625" bestFit="1" customWidth="1"/>
  </cols>
  <sheetData>
    <row r="3" spans="1:2" x14ac:dyDescent="0.45">
      <c r="A3" s="5" t="s">
        <v>1</v>
      </c>
      <c r="B3" t="s">
        <v>562</v>
      </c>
    </row>
    <row r="4" spans="1:2" x14ac:dyDescent="0.45">
      <c r="A4" s="6" t="s">
        <v>4</v>
      </c>
      <c r="B4">
        <v>35738.805199999988</v>
      </c>
    </row>
    <row r="5" spans="1:2" x14ac:dyDescent="0.45">
      <c r="A5" s="6" t="s">
        <v>5</v>
      </c>
      <c r="B5">
        <v>13439.848</v>
      </c>
    </row>
    <row r="6" spans="1:2" x14ac:dyDescent="0.45">
      <c r="A6" s="6" t="s">
        <v>2</v>
      </c>
      <c r="B6">
        <v>8601.6220000000012</v>
      </c>
    </row>
    <row r="7" spans="1:2" x14ac:dyDescent="0.45">
      <c r="A7" s="6" t="s">
        <v>3</v>
      </c>
      <c r="B7">
        <v>20123.533999999992</v>
      </c>
    </row>
    <row r="8" spans="1:2" x14ac:dyDescent="0.45">
      <c r="A8" s="6" t="s">
        <v>561</v>
      </c>
      <c r="B8">
        <v>77903.809199999989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BB6B-3A63-487B-B49B-EA2B2F545A6B}">
  <dimension ref="A3:B7"/>
  <sheetViews>
    <sheetView workbookViewId="0">
      <selection activeCell="C11" sqref="C11"/>
    </sheetView>
  </sheetViews>
  <sheetFormatPr defaultRowHeight="14.25" x14ac:dyDescent="0.45"/>
  <cols>
    <col min="1" max="1" width="12.33203125" bestFit="1" customWidth="1"/>
    <col min="2" max="2" width="11.3984375" bestFit="1" customWidth="1"/>
    <col min="3" max="3" width="14.1328125" bestFit="1" customWidth="1"/>
  </cols>
  <sheetData>
    <row r="3" spans="1:2" x14ac:dyDescent="0.45">
      <c r="A3" s="5" t="s">
        <v>6</v>
      </c>
      <c r="B3" t="s">
        <v>563</v>
      </c>
    </row>
    <row r="4" spans="1:2" x14ac:dyDescent="0.45">
      <c r="A4" s="6" t="s">
        <v>8</v>
      </c>
      <c r="B4">
        <v>1419.5224000000005</v>
      </c>
    </row>
    <row r="5" spans="1:2" x14ac:dyDescent="0.45">
      <c r="A5" s="6" t="s">
        <v>9</v>
      </c>
      <c r="B5">
        <v>-504.46580000000336</v>
      </c>
    </row>
    <row r="6" spans="1:2" x14ac:dyDescent="0.45">
      <c r="A6" s="6" t="s">
        <v>7</v>
      </c>
      <c r="B6">
        <v>-1414.0913000000012</v>
      </c>
    </row>
    <row r="7" spans="1:2" x14ac:dyDescent="0.45">
      <c r="A7" s="6" t="s">
        <v>561</v>
      </c>
      <c r="B7">
        <v>-499.03470000000402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F706-2044-466F-A780-E2F360D17AB4}">
  <dimension ref="A3:B16"/>
  <sheetViews>
    <sheetView workbookViewId="0">
      <selection activeCell="C19" sqref="C19"/>
    </sheetView>
  </sheetViews>
  <sheetFormatPr defaultRowHeight="14.25" x14ac:dyDescent="0.45"/>
  <cols>
    <col min="1" max="1" width="12.06640625" bestFit="1" customWidth="1"/>
    <col min="2" max="2" width="11.06640625" bestFit="1" customWidth="1"/>
  </cols>
  <sheetData>
    <row r="3" spans="1:2" x14ac:dyDescent="0.45">
      <c r="A3" s="5" t="s">
        <v>576</v>
      </c>
      <c r="B3" t="s">
        <v>562</v>
      </c>
    </row>
    <row r="4" spans="1:2" x14ac:dyDescent="0.45">
      <c r="A4" s="6" t="s">
        <v>564</v>
      </c>
      <c r="B4">
        <v>2025.7340000000002</v>
      </c>
    </row>
    <row r="5" spans="1:2" x14ac:dyDescent="0.45">
      <c r="A5" s="6" t="s">
        <v>565</v>
      </c>
      <c r="B5">
        <v>731.7940000000001</v>
      </c>
    </row>
    <row r="6" spans="1:2" x14ac:dyDescent="0.45">
      <c r="A6" s="6" t="s">
        <v>566</v>
      </c>
      <c r="B6">
        <v>1683.098</v>
      </c>
    </row>
    <row r="7" spans="1:2" x14ac:dyDescent="0.45">
      <c r="A7" s="6" t="s">
        <v>567</v>
      </c>
      <c r="B7">
        <v>3589.2535000000007</v>
      </c>
    </row>
    <row r="8" spans="1:2" x14ac:dyDescent="0.45">
      <c r="A8" s="6" t="s">
        <v>568</v>
      </c>
      <c r="B8">
        <v>614.85</v>
      </c>
    </row>
    <row r="9" spans="1:2" x14ac:dyDescent="0.45">
      <c r="A9" s="6" t="s">
        <v>569</v>
      </c>
      <c r="B9">
        <v>10114.761</v>
      </c>
    </row>
    <row r="10" spans="1:2" x14ac:dyDescent="0.45">
      <c r="A10" s="6" t="s">
        <v>570</v>
      </c>
      <c r="B10">
        <v>451.62399999999997</v>
      </c>
    </row>
    <row r="11" spans="1:2" x14ac:dyDescent="0.45">
      <c r="A11" s="6" t="s">
        <v>571</v>
      </c>
      <c r="B11">
        <v>2123.2280000000001</v>
      </c>
    </row>
    <row r="12" spans="1:2" x14ac:dyDescent="0.45">
      <c r="A12" s="6" t="s">
        <v>572</v>
      </c>
      <c r="B12">
        <v>27665.367999999995</v>
      </c>
    </row>
    <row r="13" spans="1:2" x14ac:dyDescent="0.45">
      <c r="A13" s="6" t="s">
        <v>573</v>
      </c>
      <c r="B13">
        <v>5281.8215</v>
      </c>
    </row>
    <row r="14" spans="1:2" x14ac:dyDescent="0.45">
      <c r="A14" s="6" t="s">
        <v>574</v>
      </c>
      <c r="B14">
        <v>7973.2380000000012</v>
      </c>
    </row>
    <row r="15" spans="1:2" x14ac:dyDescent="0.45">
      <c r="A15" s="6" t="s">
        <v>575</v>
      </c>
      <c r="B15">
        <v>15649.039200000001</v>
      </c>
    </row>
    <row r="16" spans="1:2" x14ac:dyDescent="0.45">
      <c r="A16" s="6" t="s">
        <v>561</v>
      </c>
      <c r="B16">
        <v>77903.809199999989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0AFD-05F8-4298-A37D-E7A833FD44AE}">
  <dimension ref="A3:B14"/>
  <sheetViews>
    <sheetView workbookViewId="0">
      <selection activeCell="D11" sqref="D11"/>
    </sheetView>
  </sheetViews>
  <sheetFormatPr defaultRowHeight="14.25" x14ac:dyDescent="0.45"/>
  <cols>
    <col min="1" max="1" width="16.1328125" bestFit="1" customWidth="1"/>
    <col min="2" max="2" width="11.06640625" bestFit="1" customWidth="1"/>
  </cols>
  <sheetData>
    <row r="3" spans="1:2" x14ac:dyDescent="0.45">
      <c r="A3" s="5" t="s">
        <v>427</v>
      </c>
      <c r="B3" t="s">
        <v>562</v>
      </c>
    </row>
    <row r="4" spans="1:2" x14ac:dyDescent="0.45">
      <c r="A4" s="6" t="s">
        <v>506</v>
      </c>
      <c r="B4">
        <v>10539.895999999999</v>
      </c>
    </row>
    <row r="5" spans="1:2" x14ac:dyDescent="0.45">
      <c r="A5" s="6" t="s">
        <v>543</v>
      </c>
      <c r="B5">
        <v>5579.94</v>
      </c>
    </row>
    <row r="6" spans="1:2" x14ac:dyDescent="0.45">
      <c r="A6" s="6" t="s">
        <v>442</v>
      </c>
      <c r="B6">
        <v>3761.1480000000006</v>
      </c>
    </row>
    <row r="7" spans="1:2" x14ac:dyDescent="0.45">
      <c r="A7" s="6" t="s">
        <v>536</v>
      </c>
      <c r="B7">
        <v>3745.63</v>
      </c>
    </row>
    <row r="8" spans="1:2" x14ac:dyDescent="0.45">
      <c r="A8" s="6" t="s">
        <v>431</v>
      </c>
      <c r="B8">
        <v>3714.3040000000001</v>
      </c>
    </row>
    <row r="9" spans="1:2" x14ac:dyDescent="0.45">
      <c r="A9" s="6" t="s">
        <v>538</v>
      </c>
      <c r="B9">
        <v>3354.98</v>
      </c>
    </row>
    <row r="10" spans="1:2" x14ac:dyDescent="0.45">
      <c r="A10" s="6" t="s">
        <v>496</v>
      </c>
      <c r="B10">
        <v>2657.8100000000004</v>
      </c>
    </row>
    <row r="11" spans="1:2" x14ac:dyDescent="0.45">
      <c r="A11" s="6" t="s">
        <v>465</v>
      </c>
      <c r="B11">
        <v>1966.2265000000002</v>
      </c>
    </row>
    <row r="12" spans="1:2" x14ac:dyDescent="0.45">
      <c r="A12" s="6" t="s">
        <v>528</v>
      </c>
      <c r="B12">
        <v>1816.6960000000001</v>
      </c>
    </row>
    <row r="13" spans="1:2" x14ac:dyDescent="0.45">
      <c r="A13" s="6" t="s">
        <v>516</v>
      </c>
      <c r="B13">
        <v>1668.9880000000003</v>
      </c>
    </row>
    <row r="14" spans="1:2" x14ac:dyDescent="0.45">
      <c r="A14" s="6" t="s">
        <v>561</v>
      </c>
      <c r="B14">
        <v>38805.618500000004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9A24-073A-4645-A4DE-9273B3926041}">
  <dimension ref="A3:B9"/>
  <sheetViews>
    <sheetView zoomScale="130" workbookViewId="0">
      <selection activeCell="A17" sqref="A17"/>
    </sheetView>
  </sheetViews>
  <sheetFormatPr defaultRowHeight="14.25" x14ac:dyDescent="0.45"/>
  <cols>
    <col min="1" max="1" width="52.265625" bestFit="1" customWidth="1"/>
    <col min="2" max="2" width="11.3984375" bestFit="1" customWidth="1"/>
  </cols>
  <sheetData>
    <row r="3" spans="1:2" x14ac:dyDescent="0.45">
      <c r="A3" s="5" t="s">
        <v>10</v>
      </c>
      <c r="B3" t="s">
        <v>562</v>
      </c>
    </row>
    <row r="4" spans="1:2" x14ac:dyDescent="0.45">
      <c r="A4" s="6" t="s">
        <v>131</v>
      </c>
      <c r="B4">
        <v>3059.9859999999999</v>
      </c>
    </row>
    <row r="5" spans="1:2" x14ac:dyDescent="0.45">
      <c r="A5" s="6" t="s">
        <v>12</v>
      </c>
      <c r="B5">
        <v>2683.7799999999997</v>
      </c>
    </row>
    <row r="6" spans="1:2" x14ac:dyDescent="0.45">
      <c r="A6" s="6" t="s">
        <v>167</v>
      </c>
      <c r="B6">
        <v>11219.933999999999</v>
      </c>
    </row>
    <row r="7" spans="1:2" x14ac:dyDescent="0.45">
      <c r="A7" s="6" t="s">
        <v>229</v>
      </c>
      <c r="B7">
        <v>3965.346</v>
      </c>
    </row>
    <row r="8" spans="1:2" x14ac:dyDescent="0.45">
      <c r="A8" s="6" t="s">
        <v>37</v>
      </c>
      <c r="B8">
        <v>3083.4300000000003</v>
      </c>
    </row>
    <row r="9" spans="1:2" x14ac:dyDescent="0.45">
      <c r="A9" s="6" t="s">
        <v>561</v>
      </c>
      <c r="B9">
        <v>24012.475999999999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56DB-E387-4519-A656-0C142920DE4E}">
  <dimension ref="A1:K301"/>
  <sheetViews>
    <sheetView tabSelected="1" workbookViewId="0">
      <selection activeCell="G18" sqref="G18"/>
    </sheetView>
  </sheetViews>
  <sheetFormatPr defaultRowHeight="14.25" x14ac:dyDescent="0.45"/>
  <cols>
    <col min="1" max="1" width="6.46484375" bestFit="1" customWidth="1"/>
    <col min="2" max="2" width="13.73046875" bestFit="1" customWidth="1"/>
    <col min="3" max="3" width="9.53125" bestFit="1" customWidth="1"/>
    <col min="4" max="4" width="9.53125" customWidth="1"/>
    <col min="6" max="6" width="12.796875" bestFit="1" customWidth="1"/>
    <col min="7" max="7" width="54.9296875" customWidth="1"/>
  </cols>
  <sheetData>
    <row r="1" spans="1:11" x14ac:dyDescent="0.45">
      <c r="A1" s="1" t="s">
        <v>0</v>
      </c>
      <c r="B1" s="1" t="s">
        <v>288</v>
      </c>
      <c r="C1" s="1" t="s">
        <v>426</v>
      </c>
      <c r="D1" s="1" t="s">
        <v>427</v>
      </c>
      <c r="E1" s="1" t="s">
        <v>1</v>
      </c>
      <c r="F1" s="1" t="s">
        <v>6</v>
      </c>
      <c r="G1" s="1" t="s">
        <v>10</v>
      </c>
      <c r="H1" s="1" t="s">
        <v>285</v>
      </c>
      <c r="I1" s="1" t="s">
        <v>286</v>
      </c>
      <c r="J1" s="1" t="s">
        <v>287</v>
      </c>
      <c r="K1" s="1" t="s">
        <v>555</v>
      </c>
    </row>
    <row r="2" spans="1:11" x14ac:dyDescent="0.45">
      <c r="A2" s="1">
        <v>1</v>
      </c>
      <c r="B2" s="1" t="s">
        <v>289</v>
      </c>
      <c r="C2" s="2">
        <v>43047</v>
      </c>
      <c r="D2" s="1" t="s">
        <v>428</v>
      </c>
      <c r="E2" s="1" t="s">
        <v>2</v>
      </c>
      <c r="F2" s="1" t="s">
        <v>7</v>
      </c>
      <c r="G2" s="1" t="s">
        <v>11</v>
      </c>
      <c r="H2" s="1">
        <v>261.95999999999998</v>
      </c>
      <c r="I2" s="1">
        <v>2</v>
      </c>
      <c r="J2" s="1">
        <v>41.913600000000002</v>
      </c>
      <c r="K2" s="1">
        <v>0</v>
      </c>
    </row>
    <row r="3" spans="1:11" x14ac:dyDescent="0.45">
      <c r="A3" s="1">
        <v>2</v>
      </c>
      <c r="B3" s="1" t="s">
        <v>289</v>
      </c>
      <c r="C3" s="2">
        <v>43047</v>
      </c>
      <c r="D3" s="1" t="s">
        <v>428</v>
      </c>
      <c r="E3" s="1" t="s">
        <v>2</v>
      </c>
      <c r="F3" s="1" t="s">
        <v>7</v>
      </c>
      <c r="G3" s="1" t="s">
        <v>12</v>
      </c>
      <c r="H3" s="1">
        <v>731.93999999999994</v>
      </c>
      <c r="I3" s="1">
        <v>3</v>
      </c>
      <c r="J3" s="1">
        <v>219.58199999999997</v>
      </c>
      <c r="K3" s="1">
        <v>0</v>
      </c>
    </row>
    <row r="4" spans="1:11" x14ac:dyDescent="0.45">
      <c r="A4" s="1">
        <v>3</v>
      </c>
      <c r="B4" s="1" t="s">
        <v>290</v>
      </c>
      <c r="C4" s="2">
        <v>42898</v>
      </c>
      <c r="D4" s="1" t="s">
        <v>429</v>
      </c>
      <c r="E4" s="1" t="s">
        <v>3</v>
      </c>
      <c r="F4" s="1" t="s">
        <v>8</v>
      </c>
      <c r="G4" s="1" t="s">
        <v>13</v>
      </c>
      <c r="H4" s="1">
        <v>14.62</v>
      </c>
      <c r="I4" s="1">
        <v>2</v>
      </c>
      <c r="J4" s="1">
        <v>6.8713999999999995</v>
      </c>
      <c r="K4" s="1">
        <v>0</v>
      </c>
    </row>
    <row r="5" spans="1:11" x14ac:dyDescent="0.45">
      <c r="A5" s="1">
        <v>4</v>
      </c>
      <c r="B5" s="1" t="s">
        <v>291</v>
      </c>
      <c r="C5" s="2">
        <v>42654</v>
      </c>
      <c r="D5" s="1" t="s">
        <v>430</v>
      </c>
      <c r="E5" s="1" t="s">
        <v>2</v>
      </c>
      <c r="F5" s="1" t="s">
        <v>7</v>
      </c>
      <c r="G5" s="1" t="s">
        <v>14</v>
      </c>
      <c r="H5" s="1">
        <v>957.57749999999999</v>
      </c>
      <c r="I5" s="1">
        <v>5</v>
      </c>
      <c r="J5" s="1">
        <v>-383.03100000000006</v>
      </c>
      <c r="K5" s="1">
        <v>0.45</v>
      </c>
    </row>
    <row r="6" spans="1:11" x14ac:dyDescent="0.45">
      <c r="A6" s="1">
        <v>5</v>
      </c>
      <c r="B6" s="1" t="s">
        <v>291</v>
      </c>
      <c r="C6" s="2">
        <v>42654</v>
      </c>
      <c r="D6" s="1" t="s">
        <v>430</v>
      </c>
      <c r="E6" s="1" t="s">
        <v>2</v>
      </c>
      <c r="F6" s="1" t="s">
        <v>8</v>
      </c>
      <c r="G6" s="1" t="s">
        <v>15</v>
      </c>
      <c r="H6" s="1">
        <v>22.368000000000002</v>
      </c>
      <c r="I6" s="1">
        <v>2</v>
      </c>
      <c r="J6" s="1">
        <v>2.5163999999999991</v>
      </c>
      <c r="K6" s="1">
        <v>0.2</v>
      </c>
    </row>
    <row r="7" spans="1:11" x14ac:dyDescent="0.45">
      <c r="A7" s="1">
        <v>6</v>
      </c>
      <c r="B7" s="1" t="s">
        <v>292</v>
      </c>
      <c r="C7" s="2">
        <v>42164</v>
      </c>
      <c r="D7" s="1" t="s">
        <v>431</v>
      </c>
      <c r="E7" s="1" t="s">
        <v>3</v>
      </c>
      <c r="F7" s="1" t="s">
        <v>7</v>
      </c>
      <c r="G7" s="1" t="s">
        <v>16</v>
      </c>
      <c r="H7" s="1">
        <v>48.86</v>
      </c>
      <c r="I7" s="1">
        <v>7</v>
      </c>
      <c r="J7" s="1">
        <v>14.169399999999996</v>
      </c>
      <c r="K7" s="1">
        <v>0</v>
      </c>
    </row>
    <row r="8" spans="1:11" x14ac:dyDescent="0.45">
      <c r="A8" s="1">
        <v>7</v>
      </c>
      <c r="B8" s="1" t="s">
        <v>292</v>
      </c>
      <c r="C8" s="2">
        <v>42164</v>
      </c>
      <c r="D8" s="1" t="s">
        <v>431</v>
      </c>
      <c r="E8" s="1" t="s">
        <v>3</v>
      </c>
      <c r="F8" s="1" t="s">
        <v>8</v>
      </c>
      <c r="G8" s="1" t="s">
        <v>17</v>
      </c>
      <c r="H8" s="1">
        <v>7.28</v>
      </c>
      <c r="I8" s="1">
        <v>4</v>
      </c>
      <c r="J8" s="1">
        <v>1.9656000000000002</v>
      </c>
      <c r="K8" s="1">
        <v>0</v>
      </c>
    </row>
    <row r="9" spans="1:11" x14ac:dyDescent="0.45">
      <c r="A9" s="1">
        <v>8</v>
      </c>
      <c r="B9" s="1" t="s">
        <v>292</v>
      </c>
      <c r="C9" s="2">
        <v>42164</v>
      </c>
      <c r="D9" s="1" t="s">
        <v>431</v>
      </c>
      <c r="E9" s="1" t="s">
        <v>3</v>
      </c>
      <c r="F9" s="1" t="s">
        <v>9</v>
      </c>
      <c r="G9" s="1" t="s">
        <v>18</v>
      </c>
      <c r="H9" s="1">
        <v>907.15200000000004</v>
      </c>
      <c r="I9" s="1">
        <v>6</v>
      </c>
      <c r="J9" s="1">
        <v>90.715200000000038</v>
      </c>
      <c r="K9" s="1">
        <v>0.2</v>
      </c>
    </row>
    <row r="10" spans="1:11" x14ac:dyDescent="0.45">
      <c r="A10" s="1">
        <v>9</v>
      </c>
      <c r="B10" s="1" t="s">
        <v>292</v>
      </c>
      <c r="C10" s="2">
        <v>42164</v>
      </c>
      <c r="D10" s="1" t="s">
        <v>431</v>
      </c>
      <c r="E10" s="1" t="s">
        <v>3</v>
      </c>
      <c r="F10" s="1" t="s">
        <v>8</v>
      </c>
      <c r="G10" s="1" t="s">
        <v>19</v>
      </c>
      <c r="H10" s="1">
        <v>18.504000000000001</v>
      </c>
      <c r="I10" s="1">
        <v>3</v>
      </c>
      <c r="J10" s="1">
        <v>5.7824999999999998</v>
      </c>
      <c r="K10" s="1">
        <v>0.2</v>
      </c>
    </row>
    <row r="11" spans="1:11" x14ac:dyDescent="0.45">
      <c r="A11" s="1">
        <v>10</v>
      </c>
      <c r="B11" s="1" t="s">
        <v>292</v>
      </c>
      <c r="C11" s="2">
        <v>42164</v>
      </c>
      <c r="D11" s="1" t="s">
        <v>431</v>
      </c>
      <c r="E11" s="1" t="s">
        <v>3</v>
      </c>
      <c r="F11" s="1" t="s">
        <v>8</v>
      </c>
      <c r="G11" s="1" t="s">
        <v>20</v>
      </c>
      <c r="H11" s="1">
        <v>114.9</v>
      </c>
      <c r="I11" s="1">
        <v>5</v>
      </c>
      <c r="J11" s="1">
        <v>34.469999999999992</v>
      </c>
      <c r="K11" s="1">
        <v>0</v>
      </c>
    </row>
    <row r="12" spans="1:11" x14ac:dyDescent="0.45">
      <c r="A12" s="1">
        <v>11</v>
      </c>
      <c r="B12" s="1" t="s">
        <v>292</v>
      </c>
      <c r="C12" s="2">
        <v>42164</v>
      </c>
      <c r="D12" s="1" t="s">
        <v>431</v>
      </c>
      <c r="E12" s="1" t="s">
        <v>3</v>
      </c>
      <c r="F12" s="1" t="s">
        <v>7</v>
      </c>
      <c r="G12" s="1" t="s">
        <v>21</v>
      </c>
      <c r="H12" s="1">
        <v>1706.1840000000002</v>
      </c>
      <c r="I12" s="1">
        <v>9</v>
      </c>
      <c r="J12" s="1">
        <v>85.309199999999805</v>
      </c>
      <c r="K12" s="1">
        <v>0.2</v>
      </c>
    </row>
    <row r="13" spans="1:11" x14ac:dyDescent="0.45">
      <c r="A13" s="1">
        <v>12</v>
      </c>
      <c r="B13" s="1" t="s">
        <v>292</v>
      </c>
      <c r="C13" s="2">
        <v>42164</v>
      </c>
      <c r="D13" s="1" t="s">
        <v>431</v>
      </c>
      <c r="E13" s="1" t="s">
        <v>3</v>
      </c>
      <c r="F13" s="1" t="s">
        <v>9</v>
      </c>
      <c r="G13" s="1" t="s">
        <v>22</v>
      </c>
      <c r="H13" s="1">
        <v>911.42399999999998</v>
      </c>
      <c r="I13" s="1">
        <v>4</v>
      </c>
      <c r="J13" s="1">
        <v>68.356800000000021</v>
      </c>
      <c r="K13" s="1">
        <v>0.2</v>
      </c>
    </row>
    <row r="14" spans="1:11" x14ac:dyDescent="0.45">
      <c r="A14" s="1">
        <v>13</v>
      </c>
      <c r="B14" s="1" t="s">
        <v>293</v>
      </c>
      <c r="C14" s="2">
        <v>43205</v>
      </c>
      <c r="D14" s="1" t="s">
        <v>432</v>
      </c>
      <c r="E14" s="1" t="s">
        <v>2</v>
      </c>
      <c r="F14" s="1" t="s">
        <v>8</v>
      </c>
      <c r="G14" s="1" t="s">
        <v>23</v>
      </c>
      <c r="H14" s="1">
        <v>15.552000000000003</v>
      </c>
      <c r="I14" s="1">
        <v>3</v>
      </c>
      <c r="J14" s="1">
        <v>5.4432</v>
      </c>
      <c r="K14" s="1">
        <v>0.2</v>
      </c>
    </row>
    <row r="15" spans="1:11" x14ac:dyDescent="0.45">
      <c r="A15" s="1">
        <v>14</v>
      </c>
      <c r="B15" s="1" t="s">
        <v>294</v>
      </c>
      <c r="C15" s="2">
        <v>43074</v>
      </c>
      <c r="D15" s="1" t="s">
        <v>433</v>
      </c>
      <c r="E15" s="1" t="s">
        <v>3</v>
      </c>
      <c r="F15" s="1" t="s">
        <v>8</v>
      </c>
      <c r="G15" s="1" t="s">
        <v>24</v>
      </c>
      <c r="H15" s="1">
        <v>407.97600000000006</v>
      </c>
      <c r="I15" s="1">
        <v>3</v>
      </c>
      <c r="J15" s="1">
        <v>132.59219999999993</v>
      </c>
      <c r="K15" s="1">
        <v>0.2</v>
      </c>
    </row>
    <row r="16" spans="1:11" x14ac:dyDescent="0.45">
      <c r="A16" s="1">
        <v>15</v>
      </c>
      <c r="B16" s="1" t="s">
        <v>295</v>
      </c>
      <c r="C16" s="2">
        <v>42696</v>
      </c>
      <c r="D16" s="1" t="s">
        <v>434</v>
      </c>
      <c r="E16" s="1" t="s">
        <v>4</v>
      </c>
      <c r="F16" s="1" t="s">
        <v>8</v>
      </c>
      <c r="G16" s="1" t="s">
        <v>25</v>
      </c>
      <c r="H16" s="1">
        <v>68.809999999999988</v>
      </c>
      <c r="I16" s="1">
        <v>5</v>
      </c>
      <c r="J16" s="1">
        <v>-123.858</v>
      </c>
      <c r="K16" s="1">
        <v>0.8</v>
      </c>
    </row>
    <row r="17" spans="1:11" x14ac:dyDescent="0.45">
      <c r="A17" s="1">
        <v>16</v>
      </c>
      <c r="B17" s="1" t="s">
        <v>295</v>
      </c>
      <c r="C17" s="2">
        <v>42696</v>
      </c>
      <c r="D17" s="1" t="s">
        <v>434</v>
      </c>
      <c r="E17" s="1" t="s">
        <v>4</v>
      </c>
      <c r="F17" s="1" t="s">
        <v>8</v>
      </c>
      <c r="G17" s="1" t="s">
        <v>26</v>
      </c>
      <c r="H17" s="1">
        <v>2.5439999999999996</v>
      </c>
      <c r="I17" s="1">
        <v>3</v>
      </c>
      <c r="J17" s="1">
        <v>-3.8160000000000016</v>
      </c>
      <c r="K17" s="1">
        <v>0.8</v>
      </c>
    </row>
    <row r="18" spans="1:11" x14ac:dyDescent="0.45">
      <c r="A18" s="1">
        <v>17</v>
      </c>
      <c r="B18" s="1" t="s">
        <v>296</v>
      </c>
      <c r="C18" s="2">
        <v>42319</v>
      </c>
      <c r="D18" s="1" t="s">
        <v>435</v>
      </c>
      <c r="E18" s="1" t="s">
        <v>4</v>
      </c>
      <c r="F18" s="1" t="s">
        <v>8</v>
      </c>
      <c r="G18" s="1" t="s">
        <v>27</v>
      </c>
      <c r="H18" s="1">
        <v>665.88</v>
      </c>
      <c r="I18" s="1">
        <v>6</v>
      </c>
      <c r="J18" s="1">
        <v>13.317599999999999</v>
      </c>
      <c r="K18" s="1">
        <v>0</v>
      </c>
    </row>
    <row r="19" spans="1:11" x14ac:dyDescent="0.45">
      <c r="A19" s="1">
        <v>18</v>
      </c>
      <c r="B19" s="1" t="s">
        <v>297</v>
      </c>
      <c r="C19" s="2">
        <v>42137</v>
      </c>
      <c r="D19" s="1" t="s">
        <v>436</v>
      </c>
      <c r="E19" s="1" t="s">
        <v>3</v>
      </c>
      <c r="F19" s="1" t="s">
        <v>8</v>
      </c>
      <c r="G19" s="1" t="s">
        <v>28</v>
      </c>
      <c r="H19" s="1">
        <v>55.5</v>
      </c>
      <c r="I19" s="1">
        <v>2</v>
      </c>
      <c r="J19" s="1">
        <v>9.9899999999999949</v>
      </c>
      <c r="K19" s="1">
        <v>0</v>
      </c>
    </row>
    <row r="20" spans="1:11" x14ac:dyDescent="0.45">
      <c r="A20" s="1">
        <v>19</v>
      </c>
      <c r="B20" s="1" t="s">
        <v>298</v>
      </c>
      <c r="C20" s="2">
        <v>42243</v>
      </c>
      <c r="D20" s="1" t="s">
        <v>437</v>
      </c>
      <c r="E20" s="1" t="s">
        <v>3</v>
      </c>
      <c r="F20" s="1" t="s">
        <v>8</v>
      </c>
      <c r="G20" s="1" t="s">
        <v>29</v>
      </c>
      <c r="H20" s="1">
        <v>8.56</v>
      </c>
      <c r="I20" s="1">
        <v>2</v>
      </c>
      <c r="J20" s="1">
        <v>2.4823999999999993</v>
      </c>
      <c r="K20" s="1">
        <v>0</v>
      </c>
    </row>
    <row r="21" spans="1:11" x14ac:dyDescent="0.45">
      <c r="A21" s="1">
        <v>20</v>
      </c>
      <c r="B21" s="1" t="s">
        <v>298</v>
      </c>
      <c r="C21" s="2">
        <v>42243</v>
      </c>
      <c r="D21" s="1" t="s">
        <v>437</v>
      </c>
      <c r="E21" s="1" t="s">
        <v>3</v>
      </c>
      <c r="F21" s="1" t="s">
        <v>9</v>
      </c>
      <c r="G21" s="1" t="s">
        <v>30</v>
      </c>
      <c r="H21" s="1">
        <v>213.48000000000002</v>
      </c>
      <c r="I21" s="1">
        <v>3</v>
      </c>
      <c r="J21" s="1">
        <v>16.010999999999981</v>
      </c>
      <c r="K21" s="1">
        <v>0.2</v>
      </c>
    </row>
    <row r="22" spans="1:11" x14ac:dyDescent="0.45">
      <c r="A22" s="1">
        <v>21</v>
      </c>
      <c r="B22" s="1" t="s">
        <v>298</v>
      </c>
      <c r="C22" s="2">
        <v>42243</v>
      </c>
      <c r="D22" s="1" t="s">
        <v>437</v>
      </c>
      <c r="E22" s="1" t="s">
        <v>3</v>
      </c>
      <c r="F22" s="1" t="s">
        <v>8</v>
      </c>
      <c r="G22" s="1" t="s">
        <v>31</v>
      </c>
      <c r="H22" s="1">
        <v>22.72</v>
      </c>
      <c r="I22" s="1">
        <v>4</v>
      </c>
      <c r="J22" s="1">
        <v>7.3839999999999986</v>
      </c>
      <c r="K22" s="1">
        <v>0.2</v>
      </c>
    </row>
    <row r="23" spans="1:11" x14ac:dyDescent="0.45">
      <c r="A23" s="1">
        <v>22</v>
      </c>
      <c r="B23" s="1" t="s">
        <v>299</v>
      </c>
      <c r="C23" s="2">
        <v>43078</v>
      </c>
      <c r="D23" s="1" t="s">
        <v>438</v>
      </c>
      <c r="E23" s="1" t="s">
        <v>4</v>
      </c>
      <c r="F23" s="1" t="s">
        <v>8</v>
      </c>
      <c r="G23" s="1" t="s">
        <v>32</v>
      </c>
      <c r="H23" s="1">
        <v>19.459999999999997</v>
      </c>
      <c r="I23" s="1">
        <v>7</v>
      </c>
      <c r="J23" s="1">
        <v>5.0595999999999997</v>
      </c>
      <c r="K23" s="1">
        <v>0</v>
      </c>
    </row>
    <row r="24" spans="1:11" x14ac:dyDescent="0.45">
      <c r="A24" s="1">
        <v>23</v>
      </c>
      <c r="B24" s="1" t="s">
        <v>299</v>
      </c>
      <c r="C24" s="2">
        <v>43078</v>
      </c>
      <c r="D24" s="1" t="s">
        <v>438</v>
      </c>
      <c r="E24" s="1" t="s">
        <v>4</v>
      </c>
      <c r="F24" s="1" t="s">
        <v>8</v>
      </c>
      <c r="G24" s="1" t="s">
        <v>33</v>
      </c>
      <c r="H24" s="1">
        <v>60.339999999999996</v>
      </c>
      <c r="I24" s="1">
        <v>7</v>
      </c>
      <c r="J24" s="1">
        <v>15.688400000000001</v>
      </c>
      <c r="K24" s="1">
        <v>0</v>
      </c>
    </row>
    <row r="25" spans="1:11" x14ac:dyDescent="0.45">
      <c r="A25" s="1">
        <v>24</v>
      </c>
      <c r="B25" s="1" t="s">
        <v>300</v>
      </c>
      <c r="C25" s="2">
        <v>43297</v>
      </c>
      <c r="D25" s="1" t="s">
        <v>439</v>
      </c>
      <c r="E25" s="1" t="s">
        <v>5</v>
      </c>
      <c r="F25" s="1" t="s">
        <v>7</v>
      </c>
      <c r="G25" s="1" t="s">
        <v>34</v>
      </c>
      <c r="H25" s="1">
        <v>71.371999999999986</v>
      </c>
      <c r="I25" s="1">
        <v>2</v>
      </c>
      <c r="J25" s="1">
        <v>-1.0196000000000005</v>
      </c>
      <c r="K25" s="1">
        <v>0.3</v>
      </c>
    </row>
    <row r="26" spans="1:11" x14ac:dyDescent="0.45">
      <c r="A26" s="1">
        <v>25</v>
      </c>
      <c r="B26" s="1" t="s">
        <v>301</v>
      </c>
      <c r="C26" s="2">
        <v>42638</v>
      </c>
      <c r="D26" s="1" t="s">
        <v>440</v>
      </c>
      <c r="E26" s="1" t="s">
        <v>3</v>
      </c>
      <c r="F26" s="1" t="s">
        <v>7</v>
      </c>
      <c r="G26" s="1" t="s">
        <v>14</v>
      </c>
      <c r="H26" s="1">
        <v>1044.6299999999999</v>
      </c>
      <c r="I26" s="1">
        <v>3</v>
      </c>
      <c r="J26" s="1">
        <v>240.26490000000001</v>
      </c>
      <c r="K26" s="1">
        <v>0</v>
      </c>
    </row>
    <row r="27" spans="1:11" x14ac:dyDescent="0.45">
      <c r="A27" s="1">
        <v>26</v>
      </c>
      <c r="B27" s="1" t="s">
        <v>302</v>
      </c>
      <c r="C27" s="2">
        <v>42751</v>
      </c>
      <c r="D27" s="1" t="s">
        <v>441</v>
      </c>
      <c r="E27" s="1" t="s">
        <v>3</v>
      </c>
      <c r="F27" s="1" t="s">
        <v>8</v>
      </c>
      <c r="G27" s="1" t="s">
        <v>35</v>
      </c>
      <c r="H27" s="1">
        <v>11.648000000000001</v>
      </c>
      <c r="I27" s="1">
        <v>2</v>
      </c>
      <c r="J27" s="1">
        <v>4.2224000000000004</v>
      </c>
      <c r="K27" s="1">
        <v>0.2</v>
      </c>
    </row>
    <row r="28" spans="1:11" x14ac:dyDescent="0.45">
      <c r="A28" s="1">
        <v>27</v>
      </c>
      <c r="B28" s="1" t="s">
        <v>302</v>
      </c>
      <c r="C28" s="2">
        <v>42751</v>
      </c>
      <c r="D28" s="1" t="s">
        <v>441</v>
      </c>
      <c r="E28" s="1" t="s">
        <v>3</v>
      </c>
      <c r="F28" s="1" t="s">
        <v>9</v>
      </c>
      <c r="G28" s="1" t="s">
        <v>36</v>
      </c>
      <c r="H28" s="1">
        <v>90.570000000000007</v>
      </c>
      <c r="I28" s="1">
        <v>3</v>
      </c>
      <c r="J28" s="1">
        <v>11.774100000000004</v>
      </c>
      <c r="K28" s="1">
        <v>0</v>
      </c>
    </row>
    <row r="29" spans="1:11" x14ac:dyDescent="0.45">
      <c r="A29" s="1">
        <v>28</v>
      </c>
      <c r="B29" s="1" t="s">
        <v>303</v>
      </c>
      <c r="C29" s="2">
        <v>42630</v>
      </c>
      <c r="D29" s="1" t="s">
        <v>442</v>
      </c>
      <c r="E29" s="1" t="s">
        <v>5</v>
      </c>
      <c r="F29" s="1" t="s">
        <v>7</v>
      </c>
      <c r="G29" s="1" t="s">
        <v>37</v>
      </c>
      <c r="H29" s="1">
        <v>3083.4300000000003</v>
      </c>
      <c r="I29" s="1">
        <v>7</v>
      </c>
      <c r="J29" s="1">
        <v>-1665.0522000000001</v>
      </c>
      <c r="K29" s="1">
        <v>0.5</v>
      </c>
    </row>
    <row r="30" spans="1:11" x14ac:dyDescent="0.45">
      <c r="A30" s="1">
        <v>29</v>
      </c>
      <c r="B30" s="1" t="s">
        <v>303</v>
      </c>
      <c r="C30" s="2">
        <v>42630</v>
      </c>
      <c r="D30" s="1" t="s">
        <v>442</v>
      </c>
      <c r="E30" s="1" t="s">
        <v>5</v>
      </c>
      <c r="F30" s="1" t="s">
        <v>8</v>
      </c>
      <c r="G30" s="1" t="s">
        <v>38</v>
      </c>
      <c r="H30" s="1">
        <v>9.6180000000000021</v>
      </c>
      <c r="I30" s="1">
        <v>2</v>
      </c>
      <c r="J30" s="1">
        <v>-7.0532000000000004</v>
      </c>
      <c r="K30" s="1">
        <v>0.7</v>
      </c>
    </row>
    <row r="31" spans="1:11" x14ac:dyDescent="0.45">
      <c r="A31" s="1">
        <v>30</v>
      </c>
      <c r="B31" s="1" t="s">
        <v>303</v>
      </c>
      <c r="C31" s="2">
        <v>42630</v>
      </c>
      <c r="D31" s="1" t="s">
        <v>442</v>
      </c>
      <c r="E31" s="1" t="s">
        <v>5</v>
      </c>
      <c r="F31" s="1" t="s">
        <v>7</v>
      </c>
      <c r="G31" s="1" t="s">
        <v>39</v>
      </c>
      <c r="H31" s="1">
        <v>124.20000000000002</v>
      </c>
      <c r="I31" s="1">
        <v>3</v>
      </c>
      <c r="J31" s="1">
        <v>15.524999999999991</v>
      </c>
      <c r="K31" s="1">
        <v>0.2</v>
      </c>
    </row>
    <row r="32" spans="1:11" x14ac:dyDescent="0.45">
      <c r="A32" s="1">
        <v>31</v>
      </c>
      <c r="B32" s="1" t="s">
        <v>303</v>
      </c>
      <c r="C32" s="2">
        <v>42630</v>
      </c>
      <c r="D32" s="1" t="s">
        <v>442</v>
      </c>
      <c r="E32" s="1" t="s">
        <v>5</v>
      </c>
      <c r="F32" s="1" t="s">
        <v>8</v>
      </c>
      <c r="G32" s="1" t="s">
        <v>40</v>
      </c>
      <c r="H32" s="1">
        <v>3.2640000000000002</v>
      </c>
      <c r="I32" s="1">
        <v>2</v>
      </c>
      <c r="J32" s="1">
        <v>1.1015999999999997</v>
      </c>
      <c r="K32" s="1">
        <v>0.2</v>
      </c>
    </row>
    <row r="33" spans="1:11" x14ac:dyDescent="0.45">
      <c r="A33" s="1">
        <v>32</v>
      </c>
      <c r="B33" s="1" t="s">
        <v>303</v>
      </c>
      <c r="C33" s="2">
        <v>42630</v>
      </c>
      <c r="D33" s="1" t="s">
        <v>442</v>
      </c>
      <c r="E33" s="1" t="s">
        <v>5</v>
      </c>
      <c r="F33" s="1" t="s">
        <v>8</v>
      </c>
      <c r="G33" s="1" t="s">
        <v>41</v>
      </c>
      <c r="H33" s="1">
        <v>86.304000000000002</v>
      </c>
      <c r="I33" s="1">
        <v>6</v>
      </c>
      <c r="J33" s="1">
        <v>9.7091999999999885</v>
      </c>
      <c r="K33" s="1">
        <v>0.2</v>
      </c>
    </row>
    <row r="34" spans="1:11" x14ac:dyDescent="0.45">
      <c r="A34" s="1">
        <v>33</v>
      </c>
      <c r="B34" s="1" t="s">
        <v>303</v>
      </c>
      <c r="C34" s="2">
        <v>42630</v>
      </c>
      <c r="D34" s="1" t="s">
        <v>442</v>
      </c>
      <c r="E34" s="1" t="s">
        <v>5</v>
      </c>
      <c r="F34" s="1" t="s">
        <v>8</v>
      </c>
      <c r="G34" s="1" t="s">
        <v>42</v>
      </c>
      <c r="H34" s="1">
        <v>6.8580000000000014</v>
      </c>
      <c r="I34" s="1">
        <v>6</v>
      </c>
      <c r="J34" s="1">
        <v>-5.7149999999999999</v>
      </c>
      <c r="K34" s="1">
        <v>0.7</v>
      </c>
    </row>
    <row r="35" spans="1:11" x14ac:dyDescent="0.45">
      <c r="A35" s="1">
        <v>34</v>
      </c>
      <c r="B35" s="1" t="s">
        <v>303</v>
      </c>
      <c r="C35" s="2">
        <v>42630</v>
      </c>
      <c r="D35" s="1" t="s">
        <v>442</v>
      </c>
      <c r="E35" s="1" t="s">
        <v>5</v>
      </c>
      <c r="F35" s="1" t="s">
        <v>8</v>
      </c>
      <c r="G35" s="1" t="s">
        <v>43</v>
      </c>
      <c r="H35" s="1">
        <v>15.76</v>
      </c>
      <c r="I35" s="1">
        <v>2</v>
      </c>
      <c r="J35" s="1">
        <v>3.5460000000000007</v>
      </c>
      <c r="K35" s="1">
        <v>0.2</v>
      </c>
    </row>
    <row r="36" spans="1:11" x14ac:dyDescent="0.45">
      <c r="A36" s="1">
        <v>35</v>
      </c>
      <c r="B36" s="1" t="s">
        <v>304</v>
      </c>
      <c r="C36" s="2">
        <v>43392</v>
      </c>
      <c r="D36" s="1" t="s">
        <v>443</v>
      </c>
      <c r="E36" s="1" t="s">
        <v>4</v>
      </c>
      <c r="F36" s="1" t="s">
        <v>8</v>
      </c>
      <c r="G36" s="1" t="s">
        <v>44</v>
      </c>
      <c r="H36" s="1">
        <v>29.472000000000001</v>
      </c>
      <c r="I36" s="1">
        <v>3</v>
      </c>
      <c r="J36" s="1">
        <v>9.9467999999999979</v>
      </c>
      <c r="K36" s="1">
        <v>0.2</v>
      </c>
    </row>
    <row r="37" spans="1:11" x14ac:dyDescent="0.45">
      <c r="A37" s="1">
        <v>36</v>
      </c>
      <c r="B37" s="1" t="s">
        <v>305</v>
      </c>
      <c r="C37" s="2">
        <v>43077</v>
      </c>
      <c r="D37" s="1" t="s">
        <v>444</v>
      </c>
      <c r="E37" s="1" t="s">
        <v>4</v>
      </c>
      <c r="F37" s="1" t="s">
        <v>9</v>
      </c>
      <c r="G37" s="1" t="s">
        <v>45</v>
      </c>
      <c r="H37" s="1">
        <v>1097.5440000000003</v>
      </c>
      <c r="I37" s="1">
        <v>7</v>
      </c>
      <c r="J37" s="1">
        <v>123.47369999999989</v>
      </c>
      <c r="K37" s="1">
        <v>0.2</v>
      </c>
    </row>
    <row r="38" spans="1:11" x14ac:dyDescent="0.45">
      <c r="A38" s="1">
        <v>37</v>
      </c>
      <c r="B38" s="1" t="s">
        <v>305</v>
      </c>
      <c r="C38" s="2">
        <v>43077</v>
      </c>
      <c r="D38" s="1" t="s">
        <v>444</v>
      </c>
      <c r="E38" s="1" t="s">
        <v>4</v>
      </c>
      <c r="F38" s="1" t="s">
        <v>7</v>
      </c>
      <c r="G38" s="1" t="s">
        <v>46</v>
      </c>
      <c r="H38" s="1">
        <v>190.92</v>
      </c>
      <c r="I38" s="1">
        <v>5</v>
      </c>
      <c r="J38" s="1">
        <v>-147.96300000000002</v>
      </c>
      <c r="K38" s="1">
        <v>0.6</v>
      </c>
    </row>
    <row r="39" spans="1:11" x14ac:dyDescent="0.45">
      <c r="A39" s="1">
        <v>38</v>
      </c>
      <c r="B39" s="1" t="s">
        <v>306</v>
      </c>
      <c r="C39" s="2">
        <v>42731</v>
      </c>
      <c r="D39" s="1" t="s">
        <v>445</v>
      </c>
      <c r="E39" s="1" t="s">
        <v>4</v>
      </c>
      <c r="F39" s="1" t="s">
        <v>8</v>
      </c>
      <c r="G39" s="1" t="s">
        <v>47</v>
      </c>
      <c r="H39" s="1">
        <v>113.328</v>
      </c>
      <c r="I39" s="1">
        <v>9</v>
      </c>
      <c r="J39" s="1">
        <v>35.414999999999999</v>
      </c>
      <c r="K39" s="1">
        <v>0.2</v>
      </c>
    </row>
    <row r="40" spans="1:11" x14ac:dyDescent="0.45">
      <c r="A40" s="1">
        <v>39</v>
      </c>
      <c r="B40" s="1" t="s">
        <v>306</v>
      </c>
      <c r="C40" s="2">
        <v>42731</v>
      </c>
      <c r="D40" s="1" t="s">
        <v>445</v>
      </c>
      <c r="E40" s="1" t="s">
        <v>4</v>
      </c>
      <c r="F40" s="1" t="s">
        <v>7</v>
      </c>
      <c r="G40" s="1" t="s">
        <v>48</v>
      </c>
      <c r="H40" s="1">
        <v>532.39919999999995</v>
      </c>
      <c r="I40" s="1">
        <v>3</v>
      </c>
      <c r="J40" s="1">
        <v>-46.976400000000012</v>
      </c>
      <c r="K40" s="1">
        <v>0.32</v>
      </c>
    </row>
    <row r="41" spans="1:11" x14ac:dyDescent="0.45">
      <c r="A41" s="1">
        <v>40</v>
      </c>
      <c r="B41" s="1" t="s">
        <v>306</v>
      </c>
      <c r="C41" s="2">
        <v>42731</v>
      </c>
      <c r="D41" s="1" t="s">
        <v>445</v>
      </c>
      <c r="E41" s="1" t="s">
        <v>4</v>
      </c>
      <c r="F41" s="1" t="s">
        <v>7</v>
      </c>
      <c r="G41" s="1" t="s">
        <v>49</v>
      </c>
      <c r="H41" s="1">
        <v>212.05799999999999</v>
      </c>
      <c r="I41" s="1">
        <v>3</v>
      </c>
      <c r="J41" s="1">
        <v>-15.146999999999991</v>
      </c>
      <c r="K41" s="1">
        <v>0.3</v>
      </c>
    </row>
    <row r="42" spans="1:11" x14ac:dyDescent="0.45">
      <c r="A42" s="1">
        <v>41</v>
      </c>
      <c r="B42" s="1" t="s">
        <v>306</v>
      </c>
      <c r="C42" s="2">
        <v>42731</v>
      </c>
      <c r="D42" s="1" t="s">
        <v>445</v>
      </c>
      <c r="E42" s="1" t="s">
        <v>4</v>
      </c>
      <c r="F42" s="1" t="s">
        <v>9</v>
      </c>
      <c r="G42" s="1" t="s">
        <v>50</v>
      </c>
      <c r="H42" s="1">
        <v>371.16800000000001</v>
      </c>
      <c r="I42" s="1">
        <v>4</v>
      </c>
      <c r="J42" s="1">
        <v>41.756399999999957</v>
      </c>
      <c r="K42" s="1">
        <v>0.2</v>
      </c>
    </row>
    <row r="43" spans="1:11" x14ac:dyDescent="0.45">
      <c r="A43" s="1">
        <v>42</v>
      </c>
      <c r="B43" s="1" t="s">
        <v>307</v>
      </c>
      <c r="C43" s="2">
        <v>43353</v>
      </c>
      <c r="D43" s="1" t="s">
        <v>446</v>
      </c>
      <c r="E43" s="1" t="s">
        <v>4</v>
      </c>
      <c r="F43" s="1" t="s">
        <v>9</v>
      </c>
      <c r="G43" s="1" t="s">
        <v>51</v>
      </c>
      <c r="H43" s="1">
        <v>147.16800000000001</v>
      </c>
      <c r="I43" s="1">
        <v>4</v>
      </c>
      <c r="J43" s="1">
        <v>16.556399999999996</v>
      </c>
      <c r="K43" s="1">
        <v>0.2</v>
      </c>
    </row>
    <row r="44" spans="1:11" x14ac:dyDescent="0.45">
      <c r="A44" s="1">
        <v>43</v>
      </c>
      <c r="B44" s="1" t="s">
        <v>308</v>
      </c>
      <c r="C44" s="2">
        <v>42933</v>
      </c>
      <c r="D44" s="1" t="s">
        <v>447</v>
      </c>
      <c r="E44" s="1" t="s">
        <v>3</v>
      </c>
      <c r="F44" s="1" t="s">
        <v>8</v>
      </c>
      <c r="G44" s="1" t="s">
        <v>52</v>
      </c>
      <c r="H44" s="1">
        <v>77.88</v>
      </c>
      <c r="I44" s="1">
        <v>2</v>
      </c>
      <c r="J44" s="1">
        <v>3.8939999999999912</v>
      </c>
      <c r="K44" s="1">
        <v>0</v>
      </c>
    </row>
    <row r="45" spans="1:11" x14ac:dyDescent="0.45">
      <c r="A45" s="1">
        <v>44</v>
      </c>
      <c r="B45" s="1" t="s">
        <v>309</v>
      </c>
      <c r="C45" s="2">
        <v>43362</v>
      </c>
      <c r="D45" s="1" t="s">
        <v>448</v>
      </c>
      <c r="E45" s="1" t="s">
        <v>2</v>
      </c>
      <c r="F45" s="1" t="s">
        <v>8</v>
      </c>
      <c r="G45" s="1" t="s">
        <v>53</v>
      </c>
      <c r="H45" s="1">
        <v>95.616</v>
      </c>
      <c r="I45" s="1">
        <v>2</v>
      </c>
      <c r="J45" s="1">
        <v>9.5616000000000092</v>
      </c>
      <c r="K45" s="1">
        <v>0.2</v>
      </c>
    </row>
    <row r="46" spans="1:11" x14ac:dyDescent="0.45">
      <c r="A46" s="1">
        <v>45</v>
      </c>
      <c r="B46" s="1" t="s">
        <v>310</v>
      </c>
      <c r="C46" s="2">
        <v>42805</v>
      </c>
      <c r="D46" s="1" t="s">
        <v>449</v>
      </c>
      <c r="E46" s="1" t="s">
        <v>4</v>
      </c>
      <c r="F46" s="1" t="s">
        <v>9</v>
      </c>
      <c r="G46" s="1" t="s">
        <v>54</v>
      </c>
      <c r="H46" s="1">
        <v>45.98</v>
      </c>
      <c r="I46" s="1">
        <v>2</v>
      </c>
      <c r="J46" s="1">
        <v>19.7714</v>
      </c>
      <c r="K46" s="1">
        <v>0</v>
      </c>
    </row>
    <row r="47" spans="1:11" x14ac:dyDescent="0.45">
      <c r="A47" s="1">
        <v>46</v>
      </c>
      <c r="B47" s="1" t="s">
        <v>310</v>
      </c>
      <c r="C47" s="2">
        <v>42805</v>
      </c>
      <c r="D47" s="1" t="s">
        <v>449</v>
      </c>
      <c r="E47" s="1" t="s">
        <v>4</v>
      </c>
      <c r="F47" s="1" t="s">
        <v>8</v>
      </c>
      <c r="G47" s="1" t="s">
        <v>55</v>
      </c>
      <c r="H47" s="1">
        <v>17.46</v>
      </c>
      <c r="I47" s="1">
        <v>2</v>
      </c>
      <c r="J47" s="1">
        <v>8.2061999999999991</v>
      </c>
      <c r="K47" s="1">
        <v>0</v>
      </c>
    </row>
    <row r="48" spans="1:11" x14ac:dyDescent="0.45">
      <c r="A48" s="1">
        <v>47</v>
      </c>
      <c r="B48" s="1" t="s">
        <v>311</v>
      </c>
      <c r="C48" s="2">
        <v>42297</v>
      </c>
      <c r="D48" s="1" t="s">
        <v>450</v>
      </c>
      <c r="E48" s="1" t="s">
        <v>4</v>
      </c>
      <c r="F48" s="1" t="s">
        <v>8</v>
      </c>
      <c r="G48" s="1" t="s">
        <v>56</v>
      </c>
      <c r="H48" s="1">
        <v>211.96</v>
      </c>
      <c r="I48" s="1">
        <v>4</v>
      </c>
      <c r="J48" s="1">
        <v>8.4783999999999935</v>
      </c>
      <c r="K48" s="1">
        <v>0</v>
      </c>
    </row>
    <row r="49" spans="1:11" x14ac:dyDescent="0.45">
      <c r="A49" s="1">
        <v>48</v>
      </c>
      <c r="B49" s="1" t="s">
        <v>312</v>
      </c>
      <c r="C49" s="2">
        <v>42906</v>
      </c>
      <c r="D49" s="1" t="s">
        <v>451</v>
      </c>
      <c r="E49" s="1" t="s">
        <v>5</v>
      </c>
      <c r="F49" s="1" t="s">
        <v>9</v>
      </c>
      <c r="G49" s="1" t="s">
        <v>57</v>
      </c>
      <c r="H49" s="1">
        <v>45</v>
      </c>
      <c r="I49" s="1">
        <v>3</v>
      </c>
      <c r="J49" s="1">
        <v>4.9500000000000011</v>
      </c>
      <c r="K49" s="1">
        <v>0</v>
      </c>
    </row>
    <row r="50" spans="1:11" x14ac:dyDescent="0.45">
      <c r="A50" s="1">
        <v>49</v>
      </c>
      <c r="B50" s="1" t="s">
        <v>312</v>
      </c>
      <c r="C50" s="2">
        <v>42906</v>
      </c>
      <c r="D50" s="1" t="s">
        <v>451</v>
      </c>
      <c r="E50" s="1" t="s">
        <v>5</v>
      </c>
      <c r="F50" s="1" t="s">
        <v>9</v>
      </c>
      <c r="G50" s="1" t="s">
        <v>58</v>
      </c>
      <c r="H50" s="1">
        <v>21.8</v>
      </c>
      <c r="I50" s="1">
        <v>2</v>
      </c>
      <c r="J50" s="1">
        <v>6.104000000000001</v>
      </c>
      <c r="K50" s="1">
        <v>0</v>
      </c>
    </row>
    <row r="51" spans="1:11" x14ac:dyDescent="0.45">
      <c r="A51" s="1">
        <v>50</v>
      </c>
      <c r="B51" s="1" t="s">
        <v>313</v>
      </c>
      <c r="C51" s="2">
        <v>42478</v>
      </c>
      <c r="D51" s="1" t="s">
        <v>452</v>
      </c>
      <c r="E51" s="1" t="s">
        <v>4</v>
      </c>
      <c r="F51" s="1" t="s">
        <v>8</v>
      </c>
      <c r="G51" s="1" t="s">
        <v>59</v>
      </c>
      <c r="H51" s="1">
        <v>38.22</v>
      </c>
      <c r="I51" s="1">
        <v>6</v>
      </c>
      <c r="J51" s="1">
        <v>17.9634</v>
      </c>
      <c r="K51" s="1">
        <v>0</v>
      </c>
    </row>
    <row r="52" spans="1:11" x14ac:dyDescent="0.45">
      <c r="A52" s="1">
        <v>51</v>
      </c>
      <c r="B52" s="1" t="s">
        <v>313</v>
      </c>
      <c r="C52" s="2">
        <v>42478</v>
      </c>
      <c r="D52" s="1" t="s">
        <v>452</v>
      </c>
      <c r="E52" s="1" t="s">
        <v>4</v>
      </c>
      <c r="F52" s="1" t="s">
        <v>8</v>
      </c>
      <c r="G52" s="1" t="s">
        <v>60</v>
      </c>
      <c r="H52" s="1">
        <v>75.179999999999993</v>
      </c>
      <c r="I52" s="1">
        <v>6</v>
      </c>
      <c r="J52" s="1">
        <v>35.334599999999995</v>
      </c>
      <c r="K52" s="1">
        <v>0</v>
      </c>
    </row>
    <row r="53" spans="1:11" x14ac:dyDescent="0.45">
      <c r="A53" s="1">
        <v>52</v>
      </c>
      <c r="B53" s="1" t="s">
        <v>313</v>
      </c>
      <c r="C53" s="2">
        <v>42478</v>
      </c>
      <c r="D53" s="1" t="s">
        <v>452</v>
      </c>
      <c r="E53" s="1" t="s">
        <v>4</v>
      </c>
      <c r="F53" s="1" t="s">
        <v>7</v>
      </c>
      <c r="G53" s="1" t="s">
        <v>61</v>
      </c>
      <c r="H53" s="1">
        <v>6.16</v>
      </c>
      <c r="I53" s="1">
        <v>2</v>
      </c>
      <c r="J53" s="1">
        <v>2.9567999999999999</v>
      </c>
      <c r="K53" s="1">
        <v>0</v>
      </c>
    </row>
    <row r="54" spans="1:11" x14ac:dyDescent="0.45">
      <c r="A54" s="1">
        <v>53</v>
      </c>
      <c r="B54" s="1" t="s">
        <v>313</v>
      </c>
      <c r="C54" s="2">
        <v>42478</v>
      </c>
      <c r="D54" s="1" t="s">
        <v>452</v>
      </c>
      <c r="E54" s="1" t="s">
        <v>4</v>
      </c>
      <c r="F54" s="1" t="s">
        <v>7</v>
      </c>
      <c r="G54" s="1" t="s">
        <v>62</v>
      </c>
      <c r="H54" s="1">
        <v>89.99</v>
      </c>
      <c r="I54" s="1">
        <v>1</v>
      </c>
      <c r="J54" s="1">
        <v>17.098099999999988</v>
      </c>
      <c r="K54" s="1">
        <v>0</v>
      </c>
    </row>
    <row r="55" spans="1:11" x14ac:dyDescent="0.45">
      <c r="A55" s="1">
        <v>54</v>
      </c>
      <c r="B55" s="1" t="s">
        <v>314</v>
      </c>
      <c r="C55" s="2">
        <v>43080</v>
      </c>
      <c r="D55" s="1" t="s">
        <v>453</v>
      </c>
      <c r="E55" s="1" t="s">
        <v>5</v>
      </c>
      <c r="F55" s="1" t="s">
        <v>8</v>
      </c>
      <c r="G55" s="1" t="s">
        <v>63</v>
      </c>
      <c r="H55" s="1">
        <v>15.260000000000002</v>
      </c>
      <c r="I55" s="1">
        <v>7</v>
      </c>
      <c r="J55" s="1">
        <v>6.2566000000000006</v>
      </c>
      <c r="K55" s="1">
        <v>0</v>
      </c>
    </row>
    <row r="56" spans="1:11" x14ac:dyDescent="0.45">
      <c r="A56" s="1">
        <v>55</v>
      </c>
      <c r="B56" s="1" t="s">
        <v>314</v>
      </c>
      <c r="C56" s="2">
        <v>43080</v>
      </c>
      <c r="D56" s="1" t="s">
        <v>453</v>
      </c>
      <c r="E56" s="1" t="s">
        <v>5</v>
      </c>
      <c r="F56" s="1" t="s">
        <v>9</v>
      </c>
      <c r="G56" s="1" t="s">
        <v>64</v>
      </c>
      <c r="H56" s="1">
        <v>1029.95</v>
      </c>
      <c r="I56" s="1">
        <v>5</v>
      </c>
      <c r="J56" s="1">
        <v>298.68549999999999</v>
      </c>
      <c r="K56" s="1">
        <v>0</v>
      </c>
    </row>
    <row r="57" spans="1:11" x14ac:dyDescent="0.45">
      <c r="A57" s="1">
        <v>56</v>
      </c>
      <c r="B57" s="1" t="s">
        <v>315</v>
      </c>
      <c r="C57" s="2">
        <v>42903</v>
      </c>
      <c r="D57" s="1" t="s">
        <v>454</v>
      </c>
      <c r="E57" s="1" t="s">
        <v>5</v>
      </c>
      <c r="F57" s="1" t="s">
        <v>8</v>
      </c>
      <c r="G57" s="1" t="s">
        <v>65</v>
      </c>
      <c r="H57" s="1">
        <v>208.56</v>
      </c>
      <c r="I57" s="1">
        <v>6</v>
      </c>
      <c r="J57" s="1">
        <v>52.139999999999986</v>
      </c>
      <c r="K57" s="1">
        <v>0</v>
      </c>
    </row>
    <row r="58" spans="1:11" x14ac:dyDescent="0.45">
      <c r="A58" s="1">
        <v>57</v>
      </c>
      <c r="B58" s="1" t="s">
        <v>315</v>
      </c>
      <c r="C58" s="2">
        <v>42903</v>
      </c>
      <c r="D58" s="1" t="s">
        <v>454</v>
      </c>
      <c r="E58" s="1" t="s">
        <v>5</v>
      </c>
      <c r="F58" s="1" t="s">
        <v>8</v>
      </c>
      <c r="G58" s="1" t="s">
        <v>66</v>
      </c>
      <c r="H58" s="1">
        <v>32.400000000000006</v>
      </c>
      <c r="I58" s="1">
        <v>5</v>
      </c>
      <c r="J58" s="1">
        <v>15.552000000000001</v>
      </c>
      <c r="K58" s="1">
        <v>0</v>
      </c>
    </row>
    <row r="59" spans="1:11" x14ac:dyDescent="0.45">
      <c r="A59" s="1">
        <v>58</v>
      </c>
      <c r="B59" s="1" t="s">
        <v>315</v>
      </c>
      <c r="C59" s="2">
        <v>42903</v>
      </c>
      <c r="D59" s="1" t="s">
        <v>454</v>
      </c>
      <c r="E59" s="1" t="s">
        <v>5</v>
      </c>
      <c r="F59" s="1" t="s">
        <v>7</v>
      </c>
      <c r="G59" s="1" t="s">
        <v>67</v>
      </c>
      <c r="H59" s="1">
        <v>319.41000000000003</v>
      </c>
      <c r="I59" s="1">
        <v>5</v>
      </c>
      <c r="J59" s="1">
        <v>7.0980000000000061</v>
      </c>
      <c r="K59" s="1">
        <v>0.1</v>
      </c>
    </row>
    <row r="60" spans="1:11" x14ac:dyDescent="0.45">
      <c r="A60" s="1">
        <v>59</v>
      </c>
      <c r="B60" s="1" t="s">
        <v>315</v>
      </c>
      <c r="C60" s="2">
        <v>42903</v>
      </c>
      <c r="D60" s="1" t="s">
        <v>454</v>
      </c>
      <c r="E60" s="1" t="s">
        <v>5</v>
      </c>
      <c r="F60" s="1" t="s">
        <v>8</v>
      </c>
      <c r="G60" s="1" t="s">
        <v>68</v>
      </c>
      <c r="H60" s="1">
        <v>14.56</v>
      </c>
      <c r="I60" s="1">
        <v>2</v>
      </c>
      <c r="J60" s="1">
        <v>6.9888000000000003</v>
      </c>
      <c r="K60" s="1">
        <v>0</v>
      </c>
    </row>
    <row r="61" spans="1:11" x14ac:dyDescent="0.45">
      <c r="A61" s="1">
        <v>60</v>
      </c>
      <c r="B61" s="1" t="s">
        <v>315</v>
      </c>
      <c r="C61" s="2">
        <v>42903</v>
      </c>
      <c r="D61" s="1" t="s">
        <v>454</v>
      </c>
      <c r="E61" s="1" t="s">
        <v>5</v>
      </c>
      <c r="F61" s="1" t="s">
        <v>9</v>
      </c>
      <c r="G61" s="1" t="s">
        <v>57</v>
      </c>
      <c r="H61" s="1">
        <v>30</v>
      </c>
      <c r="I61" s="1">
        <v>2</v>
      </c>
      <c r="J61" s="1">
        <v>3.3000000000000007</v>
      </c>
      <c r="K61" s="1">
        <v>0</v>
      </c>
    </row>
    <row r="62" spans="1:11" x14ac:dyDescent="0.45">
      <c r="A62" s="1">
        <v>61</v>
      </c>
      <c r="B62" s="1" t="s">
        <v>315</v>
      </c>
      <c r="C62" s="2">
        <v>42903</v>
      </c>
      <c r="D62" s="1" t="s">
        <v>454</v>
      </c>
      <c r="E62" s="1" t="s">
        <v>5</v>
      </c>
      <c r="F62" s="1" t="s">
        <v>8</v>
      </c>
      <c r="G62" s="1" t="s">
        <v>69</v>
      </c>
      <c r="H62" s="1">
        <v>48.480000000000004</v>
      </c>
      <c r="I62" s="1">
        <v>4</v>
      </c>
      <c r="J62" s="1">
        <v>16.361999999999998</v>
      </c>
      <c r="K62" s="1">
        <v>0.2</v>
      </c>
    </row>
    <row r="63" spans="1:11" x14ac:dyDescent="0.45">
      <c r="A63" s="1">
        <v>62</v>
      </c>
      <c r="B63" s="1" t="s">
        <v>315</v>
      </c>
      <c r="C63" s="2">
        <v>42903</v>
      </c>
      <c r="D63" s="1" t="s">
        <v>454</v>
      </c>
      <c r="E63" s="1" t="s">
        <v>5</v>
      </c>
      <c r="F63" s="1" t="s">
        <v>8</v>
      </c>
      <c r="G63" s="1" t="s">
        <v>70</v>
      </c>
      <c r="H63" s="1">
        <v>1.68</v>
      </c>
      <c r="I63" s="1">
        <v>1</v>
      </c>
      <c r="J63" s="1">
        <v>0.84</v>
      </c>
      <c r="K63" s="1">
        <v>0</v>
      </c>
    </row>
    <row r="64" spans="1:11" x14ac:dyDescent="0.45">
      <c r="A64" s="1">
        <v>63</v>
      </c>
      <c r="B64" s="1" t="s">
        <v>316</v>
      </c>
      <c r="C64" s="2">
        <v>42698</v>
      </c>
      <c r="D64" s="1" t="s">
        <v>455</v>
      </c>
      <c r="E64" s="1" t="s">
        <v>3</v>
      </c>
      <c r="F64" s="1" t="s">
        <v>9</v>
      </c>
      <c r="G64" s="1" t="s">
        <v>71</v>
      </c>
      <c r="H64" s="1">
        <v>13.98</v>
      </c>
      <c r="I64" s="1">
        <v>2</v>
      </c>
      <c r="J64" s="1">
        <v>6.1512000000000011</v>
      </c>
      <c r="K64" s="1">
        <v>0</v>
      </c>
    </row>
    <row r="65" spans="1:11" x14ac:dyDescent="0.45">
      <c r="A65" s="1">
        <v>64</v>
      </c>
      <c r="B65" s="1" t="s">
        <v>316</v>
      </c>
      <c r="C65" s="2">
        <v>42698</v>
      </c>
      <c r="D65" s="1" t="s">
        <v>455</v>
      </c>
      <c r="E65" s="1" t="s">
        <v>3</v>
      </c>
      <c r="F65" s="1" t="s">
        <v>8</v>
      </c>
      <c r="G65" s="1" t="s">
        <v>72</v>
      </c>
      <c r="H65" s="1">
        <v>25.824000000000002</v>
      </c>
      <c r="I65" s="1">
        <v>6</v>
      </c>
      <c r="J65" s="1">
        <v>9.3612000000000002</v>
      </c>
      <c r="K65" s="1">
        <v>0.2</v>
      </c>
    </row>
    <row r="66" spans="1:11" x14ac:dyDescent="0.45">
      <c r="A66" s="1">
        <v>65</v>
      </c>
      <c r="B66" s="1" t="s">
        <v>316</v>
      </c>
      <c r="C66" s="2">
        <v>42698</v>
      </c>
      <c r="D66" s="1" t="s">
        <v>455</v>
      </c>
      <c r="E66" s="1" t="s">
        <v>3</v>
      </c>
      <c r="F66" s="1" t="s">
        <v>8</v>
      </c>
      <c r="G66" s="1" t="s">
        <v>73</v>
      </c>
      <c r="H66" s="1">
        <v>146.72999999999999</v>
      </c>
      <c r="I66" s="1">
        <v>3</v>
      </c>
      <c r="J66" s="1">
        <v>68.963099999999997</v>
      </c>
      <c r="K66" s="1">
        <v>0</v>
      </c>
    </row>
    <row r="67" spans="1:11" x14ac:dyDescent="0.45">
      <c r="A67" s="1">
        <v>66</v>
      </c>
      <c r="B67" s="1" t="s">
        <v>316</v>
      </c>
      <c r="C67" s="2">
        <v>42698</v>
      </c>
      <c r="D67" s="1" t="s">
        <v>455</v>
      </c>
      <c r="E67" s="1" t="s">
        <v>3</v>
      </c>
      <c r="F67" s="1" t="s">
        <v>7</v>
      </c>
      <c r="G67" s="1" t="s">
        <v>74</v>
      </c>
      <c r="H67" s="1">
        <v>79.760000000000005</v>
      </c>
      <c r="I67" s="1">
        <v>4</v>
      </c>
      <c r="J67" s="1">
        <v>22.332800000000006</v>
      </c>
      <c r="K67" s="1">
        <v>0</v>
      </c>
    </row>
    <row r="68" spans="1:11" x14ac:dyDescent="0.45">
      <c r="A68" s="1">
        <v>67</v>
      </c>
      <c r="B68" s="1" t="s">
        <v>317</v>
      </c>
      <c r="C68" s="2">
        <v>42490</v>
      </c>
      <c r="D68" s="1" t="s">
        <v>456</v>
      </c>
      <c r="E68" s="1" t="s">
        <v>4</v>
      </c>
      <c r="F68" s="1" t="s">
        <v>7</v>
      </c>
      <c r="G68" s="1" t="s">
        <v>75</v>
      </c>
      <c r="H68" s="1">
        <v>213.11499999999998</v>
      </c>
      <c r="I68" s="1">
        <v>5</v>
      </c>
      <c r="J68" s="1">
        <v>-15.222500000000011</v>
      </c>
      <c r="K68" s="1">
        <v>0.3</v>
      </c>
    </row>
    <row r="69" spans="1:11" x14ac:dyDescent="0.45">
      <c r="A69" s="1">
        <v>68</v>
      </c>
      <c r="B69" s="1" t="s">
        <v>318</v>
      </c>
      <c r="C69" s="2">
        <v>42343</v>
      </c>
      <c r="D69" s="1" t="s">
        <v>457</v>
      </c>
      <c r="E69" s="1" t="s">
        <v>3</v>
      </c>
      <c r="F69" s="1" t="s">
        <v>8</v>
      </c>
      <c r="G69" s="1" t="s">
        <v>76</v>
      </c>
      <c r="H69" s="1">
        <v>1113.0240000000001</v>
      </c>
      <c r="I69" s="1">
        <v>8</v>
      </c>
      <c r="J69" s="1">
        <v>111.30239999999998</v>
      </c>
      <c r="K69" s="1">
        <v>0.2</v>
      </c>
    </row>
    <row r="70" spans="1:11" x14ac:dyDescent="0.45">
      <c r="A70" s="1">
        <v>69</v>
      </c>
      <c r="B70" s="1" t="s">
        <v>318</v>
      </c>
      <c r="C70" s="2">
        <v>42343</v>
      </c>
      <c r="D70" s="1" t="s">
        <v>457</v>
      </c>
      <c r="E70" s="1" t="s">
        <v>3</v>
      </c>
      <c r="F70" s="1" t="s">
        <v>9</v>
      </c>
      <c r="G70" s="1" t="s">
        <v>77</v>
      </c>
      <c r="H70" s="1">
        <v>167.96800000000002</v>
      </c>
      <c r="I70" s="1">
        <v>4</v>
      </c>
      <c r="J70" s="1">
        <v>62.988</v>
      </c>
      <c r="K70" s="1">
        <v>0.2</v>
      </c>
    </row>
    <row r="71" spans="1:11" x14ac:dyDescent="0.45">
      <c r="A71" s="1">
        <v>70</v>
      </c>
      <c r="B71" s="1" t="s">
        <v>319</v>
      </c>
      <c r="C71" s="2">
        <v>42890</v>
      </c>
      <c r="D71" s="1" t="s">
        <v>458</v>
      </c>
      <c r="E71" s="1" t="s">
        <v>2</v>
      </c>
      <c r="F71" s="1" t="s">
        <v>8</v>
      </c>
      <c r="G71" s="1" t="s">
        <v>78</v>
      </c>
      <c r="H71" s="1">
        <v>75.88</v>
      </c>
      <c r="I71" s="1">
        <v>2</v>
      </c>
      <c r="J71" s="1">
        <v>35.663599999999995</v>
      </c>
      <c r="K71" s="1">
        <v>0</v>
      </c>
    </row>
    <row r="72" spans="1:11" x14ac:dyDescent="0.45">
      <c r="A72" s="1">
        <v>71</v>
      </c>
      <c r="B72" s="1" t="s">
        <v>320</v>
      </c>
      <c r="C72" s="2">
        <v>42996</v>
      </c>
      <c r="D72" s="1" t="s">
        <v>459</v>
      </c>
      <c r="E72" s="1" t="s">
        <v>5</v>
      </c>
      <c r="F72" s="1" t="s">
        <v>8</v>
      </c>
      <c r="G72" s="1" t="s">
        <v>79</v>
      </c>
      <c r="H72" s="1">
        <v>4.6159999999999997</v>
      </c>
      <c r="I72" s="1">
        <v>1</v>
      </c>
      <c r="J72" s="1">
        <v>1.7309999999999999</v>
      </c>
      <c r="K72" s="1">
        <v>0.2</v>
      </c>
    </row>
    <row r="73" spans="1:11" x14ac:dyDescent="0.45">
      <c r="A73" s="1">
        <v>72</v>
      </c>
      <c r="B73" s="1" t="s">
        <v>321</v>
      </c>
      <c r="C73" s="2">
        <v>43357</v>
      </c>
      <c r="D73" s="1" t="s">
        <v>442</v>
      </c>
      <c r="E73" s="1" t="s">
        <v>4</v>
      </c>
      <c r="F73" s="1" t="s">
        <v>8</v>
      </c>
      <c r="G73" s="1" t="s">
        <v>80</v>
      </c>
      <c r="H73" s="1">
        <v>19.049999999999997</v>
      </c>
      <c r="I73" s="1">
        <v>3</v>
      </c>
      <c r="J73" s="1">
        <v>8.7629999999999999</v>
      </c>
      <c r="K73" s="1">
        <v>0</v>
      </c>
    </row>
    <row r="74" spans="1:11" x14ac:dyDescent="0.45">
      <c r="A74" s="1">
        <v>73</v>
      </c>
      <c r="B74" s="1" t="s">
        <v>322</v>
      </c>
      <c r="C74" s="2">
        <v>42486</v>
      </c>
      <c r="D74" s="1" t="s">
        <v>460</v>
      </c>
      <c r="E74" s="1" t="s">
        <v>2</v>
      </c>
      <c r="F74" s="1" t="s">
        <v>7</v>
      </c>
      <c r="G74" s="1" t="s">
        <v>81</v>
      </c>
      <c r="H74" s="1">
        <v>831.93600000000015</v>
      </c>
      <c r="I74" s="1">
        <v>8</v>
      </c>
      <c r="J74" s="1">
        <v>-114.39120000000003</v>
      </c>
      <c r="K74" s="1">
        <v>0.2</v>
      </c>
    </row>
    <row r="75" spans="1:11" x14ac:dyDescent="0.45">
      <c r="A75" s="1">
        <v>74</v>
      </c>
      <c r="B75" s="1" t="s">
        <v>322</v>
      </c>
      <c r="C75" s="2">
        <v>42486</v>
      </c>
      <c r="D75" s="1" t="s">
        <v>460</v>
      </c>
      <c r="E75" s="1" t="s">
        <v>2</v>
      </c>
      <c r="F75" s="1" t="s">
        <v>7</v>
      </c>
      <c r="G75" s="1" t="s">
        <v>82</v>
      </c>
      <c r="H75" s="1">
        <v>97.04</v>
      </c>
      <c r="I75" s="1">
        <v>2</v>
      </c>
      <c r="J75" s="1">
        <v>1.2129999999999974</v>
      </c>
      <c r="K75" s="1">
        <v>0.2</v>
      </c>
    </row>
    <row r="76" spans="1:11" x14ac:dyDescent="0.45">
      <c r="A76" s="1">
        <v>75</v>
      </c>
      <c r="B76" s="1" t="s">
        <v>322</v>
      </c>
      <c r="C76" s="2">
        <v>42486</v>
      </c>
      <c r="D76" s="1" t="s">
        <v>460</v>
      </c>
      <c r="E76" s="1" t="s">
        <v>2</v>
      </c>
      <c r="F76" s="1" t="s">
        <v>8</v>
      </c>
      <c r="G76" s="1" t="s">
        <v>83</v>
      </c>
      <c r="H76" s="1">
        <v>72.784000000000006</v>
      </c>
      <c r="I76" s="1">
        <v>1</v>
      </c>
      <c r="J76" s="1">
        <v>-18.196000000000002</v>
      </c>
      <c r="K76" s="1">
        <v>0.2</v>
      </c>
    </row>
    <row r="77" spans="1:11" x14ac:dyDescent="0.45">
      <c r="A77" s="1">
        <v>76</v>
      </c>
      <c r="B77" s="1" t="s">
        <v>323</v>
      </c>
      <c r="C77" s="2">
        <v>43443</v>
      </c>
      <c r="D77" s="1" t="s">
        <v>461</v>
      </c>
      <c r="E77" s="1" t="s">
        <v>4</v>
      </c>
      <c r="F77" s="1" t="s">
        <v>8</v>
      </c>
      <c r="G77" s="1" t="s">
        <v>84</v>
      </c>
      <c r="H77" s="1">
        <v>1.2479999999999998</v>
      </c>
      <c r="I77" s="1">
        <v>3</v>
      </c>
      <c r="J77" s="1">
        <v>-1.9344000000000006</v>
      </c>
      <c r="K77" s="1">
        <v>0.8</v>
      </c>
    </row>
    <row r="78" spans="1:11" x14ac:dyDescent="0.45">
      <c r="A78" s="1">
        <v>77</v>
      </c>
      <c r="B78" s="1" t="s">
        <v>323</v>
      </c>
      <c r="C78" s="2">
        <v>43443</v>
      </c>
      <c r="D78" s="1" t="s">
        <v>461</v>
      </c>
      <c r="E78" s="1" t="s">
        <v>4</v>
      </c>
      <c r="F78" s="1" t="s">
        <v>7</v>
      </c>
      <c r="G78" s="1" t="s">
        <v>85</v>
      </c>
      <c r="H78" s="1">
        <v>9.7080000000000002</v>
      </c>
      <c r="I78" s="1">
        <v>3</v>
      </c>
      <c r="J78" s="1">
        <v>-5.8248000000000015</v>
      </c>
      <c r="K78" s="1">
        <v>0.6</v>
      </c>
    </row>
    <row r="79" spans="1:11" x14ac:dyDescent="0.45">
      <c r="A79" s="1">
        <v>78</v>
      </c>
      <c r="B79" s="1" t="s">
        <v>323</v>
      </c>
      <c r="C79" s="2">
        <v>43443</v>
      </c>
      <c r="D79" s="1" t="s">
        <v>461</v>
      </c>
      <c r="E79" s="1" t="s">
        <v>4</v>
      </c>
      <c r="F79" s="1" t="s">
        <v>8</v>
      </c>
      <c r="G79" s="1" t="s">
        <v>86</v>
      </c>
      <c r="H79" s="1">
        <v>27.240000000000002</v>
      </c>
      <c r="I79" s="1">
        <v>3</v>
      </c>
      <c r="J79" s="1">
        <v>2.724000000000002</v>
      </c>
      <c r="K79" s="1">
        <v>0.2</v>
      </c>
    </row>
    <row r="80" spans="1:11" x14ac:dyDescent="0.45">
      <c r="A80" s="1">
        <v>79</v>
      </c>
      <c r="B80" s="1" t="s">
        <v>324</v>
      </c>
      <c r="C80" s="2">
        <v>42334</v>
      </c>
      <c r="D80" s="1" t="s">
        <v>460</v>
      </c>
      <c r="E80" s="1" t="s">
        <v>4</v>
      </c>
      <c r="F80" s="1" t="s">
        <v>7</v>
      </c>
      <c r="G80" s="1" t="s">
        <v>87</v>
      </c>
      <c r="H80" s="1">
        <v>19.3</v>
      </c>
      <c r="I80" s="1">
        <v>5</v>
      </c>
      <c r="J80" s="1">
        <v>-14.475000000000001</v>
      </c>
      <c r="K80" s="1">
        <v>0.6</v>
      </c>
    </row>
    <row r="81" spans="1:11" x14ac:dyDescent="0.45">
      <c r="A81" s="1">
        <v>80</v>
      </c>
      <c r="B81" s="1" t="s">
        <v>325</v>
      </c>
      <c r="C81" s="2">
        <v>42898</v>
      </c>
      <c r="D81" s="1" t="s">
        <v>462</v>
      </c>
      <c r="E81" s="1" t="s">
        <v>2</v>
      </c>
      <c r="F81" s="1" t="s">
        <v>8</v>
      </c>
      <c r="G81" s="1" t="s">
        <v>88</v>
      </c>
      <c r="H81" s="1">
        <v>208.16</v>
      </c>
      <c r="I81" s="1">
        <v>1</v>
      </c>
      <c r="J81" s="1">
        <v>56.20320000000001</v>
      </c>
      <c r="K81" s="1">
        <v>0</v>
      </c>
    </row>
    <row r="82" spans="1:11" x14ac:dyDescent="0.45">
      <c r="A82" s="1">
        <v>81</v>
      </c>
      <c r="B82" s="1" t="s">
        <v>325</v>
      </c>
      <c r="C82" s="2">
        <v>42898</v>
      </c>
      <c r="D82" s="1" t="s">
        <v>462</v>
      </c>
      <c r="E82" s="1" t="s">
        <v>2</v>
      </c>
      <c r="F82" s="1" t="s">
        <v>8</v>
      </c>
      <c r="G82" s="1" t="s">
        <v>89</v>
      </c>
      <c r="H82" s="1">
        <v>16.740000000000002</v>
      </c>
      <c r="I82" s="1">
        <v>3</v>
      </c>
      <c r="J82" s="1">
        <v>8.0351999999999997</v>
      </c>
      <c r="K82" s="1">
        <v>0</v>
      </c>
    </row>
    <row r="83" spans="1:11" x14ac:dyDescent="0.45">
      <c r="A83" s="1">
        <v>82</v>
      </c>
      <c r="B83" s="1" t="s">
        <v>326</v>
      </c>
      <c r="C83" s="2">
        <v>42289</v>
      </c>
      <c r="D83" s="1" t="s">
        <v>463</v>
      </c>
      <c r="E83" s="1" t="s">
        <v>3</v>
      </c>
      <c r="F83" s="1" t="s">
        <v>8</v>
      </c>
      <c r="G83" s="1" t="s">
        <v>90</v>
      </c>
      <c r="H83" s="1">
        <v>14.9</v>
      </c>
      <c r="I83" s="1">
        <v>5</v>
      </c>
      <c r="J83" s="1">
        <v>4.1720000000000006</v>
      </c>
      <c r="K83" s="1">
        <v>0</v>
      </c>
    </row>
    <row r="84" spans="1:11" x14ac:dyDescent="0.45">
      <c r="A84" s="1">
        <v>83</v>
      </c>
      <c r="B84" s="1" t="s">
        <v>326</v>
      </c>
      <c r="C84" s="2">
        <v>42289</v>
      </c>
      <c r="D84" s="1" t="s">
        <v>463</v>
      </c>
      <c r="E84" s="1" t="s">
        <v>3</v>
      </c>
      <c r="F84" s="1" t="s">
        <v>8</v>
      </c>
      <c r="G84" s="1" t="s">
        <v>91</v>
      </c>
      <c r="H84" s="1">
        <v>21.39</v>
      </c>
      <c r="I84" s="1">
        <v>1</v>
      </c>
      <c r="J84" s="1">
        <v>6.2030999999999992</v>
      </c>
      <c r="K84" s="1">
        <v>0</v>
      </c>
    </row>
    <row r="85" spans="1:11" x14ac:dyDescent="0.45">
      <c r="A85" s="1">
        <v>84</v>
      </c>
      <c r="B85" s="1" t="s">
        <v>327</v>
      </c>
      <c r="C85" s="2">
        <v>42616</v>
      </c>
      <c r="D85" s="1" t="s">
        <v>464</v>
      </c>
      <c r="E85" s="1" t="s">
        <v>2</v>
      </c>
      <c r="F85" s="1" t="s">
        <v>8</v>
      </c>
      <c r="G85" s="1" t="s">
        <v>92</v>
      </c>
      <c r="H85" s="1">
        <v>200.98400000000004</v>
      </c>
      <c r="I85" s="1">
        <v>7</v>
      </c>
      <c r="J85" s="1">
        <v>62.807499999999976</v>
      </c>
      <c r="K85" s="1">
        <v>0.2</v>
      </c>
    </row>
    <row r="86" spans="1:11" x14ac:dyDescent="0.45">
      <c r="A86" s="1">
        <v>85</v>
      </c>
      <c r="B86" s="1" t="s">
        <v>328</v>
      </c>
      <c r="C86" s="2">
        <v>43417</v>
      </c>
      <c r="D86" s="1" t="s">
        <v>465</v>
      </c>
      <c r="E86" s="1" t="s">
        <v>4</v>
      </c>
      <c r="F86" s="1" t="s">
        <v>8</v>
      </c>
      <c r="G86" s="1" t="s">
        <v>93</v>
      </c>
      <c r="H86" s="1">
        <v>230.376</v>
      </c>
      <c r="I86" s="1">
        <v>3</v>
      </c>
      <c r="J86" s="1">
        <v>-48.954900000000002</v>
      </c>
      <c r="K86" s="1">
        <v>0.2</v>
      </c>
    </row>
    <row r="87" spans="1:11" x14ac:dyDescent="0.45">
      <c r="A87" s="1">
        <v>86</v>
      </c>
      <c r="B87" s="1" t="s">
        <v>329</v>
      </c>
      <c r="C87" s="2">
        <v>43248</v>
      </c>
      <c r="D87" s="1" t="s">
        <v>450</v>
      </c>
      <c r="E87" s="1" t="s">
        <v>2</v>
      </c>
      <c r="F87" s="1" t="s">
        <v>7</v>
      </c>
      <c r="G87" s="1" t="s">
        <v>94</v>
      </c>
      <c r="H87" s="1">
        <v>301.95999999999998</v>
      </c>
      <c r="I87" s="1">
        <v>2</v>
      </c>
      <c r="J87" s="1">
        <v>33.215599999999995</v>
      </c>
      <c r="K87" s="1">
        <v>0</v>
      </c>
    </row>
    <row r="88" spans="1:11" x14ac:dyDescent="0.45">
      <c r="A88" s="1">
        <v>87</v>
      </c>
      <c r="B88" s="1" t="s">
        <v>330</v>
      </c>
      <c r="C88" s="2">
        <v>43399</v>
      </c>
      <c r="D88" s="1" t="s">
        <v>466</v>
      </c>
      <c r="E88" s="1" t="s">
        <v>4</v>
      </c>
      <c r="F88" s="1" t="s">
        <v>9</v>
      </c>
      <c r="G88" s="1" t="s">
        <v>95</v>
      </c>
      <c r="H88" s="1">
        <v>19.989999999999998</v>
      </c>
      <c r="I88" s="1">
        <v>1</v>
      </c>
      <c r="J88" s="1">
        <v>6.796599999999998</v>
      </c>
      <c r="K88" s="1">
        <v>0</v>
      </c>
    </row>
    <row r="89" spans="1:11" x14ac:dyDescent="0.45">
      <c r="A89" s="1">
        <v>88</v>
      </c>
      <c r="B89" s="1" t="s">
        <v>330</v>
      </c>
      <c r="C89" s="2">
        <v>43399</v>
      </c>
      <c r="D89" s="1" t="s">
        <v>466</v>
      </c>
      <c r="E89" s="1" t="s">
        <v>4</v>
      </c>
      <c r="F89" s="1" t="s">
        <v>8</v>
      </c>
      <c r="G89" s="1" t="s">
        <v>96</v>
      </c>
      <c r="H89" s="1">
        <v>6.16</v>
      </c>
      <c r="I89" s="1">
        <v>2</v>
      </c>
      <c r="J89" s="1">
        <v>2.9567999999999999</v>
      </c>
      <c r="K89" s="1">
        <v>0</v>
      </c>
    </row>
    <row r="90" spans="1:11" x14ac:dyDescent="0.45">
      <c r="A90" s="1">
        <v>89</v>
      </c>
      <c r="B90" s="1" t="s">
        <v>331</v>
      </c>
      <c r="C90" s="2">
        <v>42830</v>
      </c>
      <c r="D90" s="1" t="s">
        <v>467</v>
      </c>
      <c r="E90" s="1" t="s">
        <v>4</v>
      </c>
      <c r="F90" s="1" t="s">
        <v>8</v>
      </c>
      <c r="G90" s="1" t="s">
        <v>97</v>
      </c>
      <c r="H90" s="1">
        <v>158.36800000000002</v>
      </c>
      <c r="I90" s="1">
        <v>7</v>
      </c>
      <c r="J90" s="1">
        <v>13.857199999999999</v>
      </c>
      <c r="K90" s="1">
        <v>0.2</v>
      </c>
    </row>
    <row r="91" spans="1:11" x14ac:dyDescent="0.45">
      <c r="A91" s="1">
        <v>90</v>
      </c>
      <c r="B91" s="1" t="s">
        <v>332</v>
      </c>
      <c r="C91" s="2">
        <v>42995</v>
      </c>
      <c r="D91" s="1" t="s">
        <v>468</v>
      </c>
      <c r="E91" s="1" t="s">
        <v>3</v>
      </c>
      <c r="F91" s="1" t="s">
        <v>8</v>
      </c>
      <c r="G91" s="1" t="s">
        <v>98</v>
      </c>
      <c r="H91" s="1">
        <v>20.100000000000001</v>
      </c>
      <c r="I91" s="1">
        <v>3</v>
      </c>
      <c r="J91" s="1">
        <v>6.6329999999999982</v>
      </c>
      <c r="K91" s="1">
        <v>0</v>
      </c>
    </row>
    <row r="92" spans="1:11" x14ac:dyDescent="0.45">
      <c r="A92" s="1">
        <v>91</v>
      </c>
      <c r="B92" s="1" t="s">
        <v>332</v>
      </c>
      <c r="C92" s="2">
        <v>42995</v>
      </c>
      <c r="D92" s="1" t="s">
        <v>468</v>
      </c>
      <c r="E92" s="1" t="s">
        <v>3</v>
      </c>
      <c r="F92" s="1" t="s">
        <v>9</v>
      </c>
      <c r="G92" s="1" t="s">
        <v>51</v>
      </c>
      <c r="H92" s="1">
        <v>73.584000000000003</v>
      </c>
      <c r="I92" s="1">
        <v>2</v>
      </c>
      <c r="J92" s="1">
        <v>8.2781999999999982</v>
      </c>
      <c r="K92" s="1">
        <v>0.2</v>
      </c>
    </row>
    <row r="93" spans="1:11" x14ac:dyDescent="0.45">
      <c r="A93" s="1">
        <v>92</v>
      </c>
      <c r="B93" s="1" t="s">
        <v>332</v>
      </c>
      <c r="C93" s="2">
        <v>42995</v>
      </c>
      <c r="D93" s="1" t="s">
        <v>468</v>
      </c>
      <c r="E93" s="1" t="s">
        <v>3</v>
      </c>
      <c r="F93" s="1" t="s">
        <v>8</v>
      </c>
      <c r="G93" s="1" t="s">
        <v>99</v>
      </c>
      <c r="H93" s="1">
        <v>6.48</v>
      </c>
      <c r="I93" s="1">
        <v>1</v>
      </c>
      <c r="J93" s="1">
        <v>3.1104000000000003</v>
      </c>
      <c r="K93" s="1">
        <v>0</v>
      </c>
    </row>
    <row r="94" spans="1:11" x14ac:dyDescent="0.45">
      <c r="A94" s="1">
        <v>93</v>
      </c>
      <c r="B94" s="1" t="s">
        <v>333</v>
      </c>
      <c r="C94" s="2">
        <v>42400</v>
      </c>
      <c r="D94" s="1" t="s">
        <v>469</v>
      </c>
      <c r="E94" s="1" t="s">
        <v>4</v>
      </c>
      <c r="F94" s="1" t="s">
        <v>8</v>
      </c>
      <c r="G94" s="1" t="s">
        <v>100</v>
      </c>
      <c r="H94" s="1">
        <v>12.96</v>
      </c>
      <c r="I94" s="1">
        <v>2</v>
      </c>
      <c r="J94" s="1">
        <v>6.2208000000000006</v>
      </c>
      <c r="K94" s="1">
        <v>0</v>
      </c>
    </row>
    <row r="95" spans="1:11" x14ac:dyDescent="0.45">
      <c r="A95" s="1">
        <v>94</v>
      </c>
      <c r="B95" s="1" t="s">
        <v>333</v>
      </c>
      <c r="C95" s="2">
        <v>42400</v>
      </c>
      <c r="D95" s="1" t="s">
        <v>469</v>
      </c>
      <c r="E95" s="1" t="s">
        <v>4</v>
      </c>
      <c r="F95" s="1" t="s">
        <v>7</v>
      </c>
      <c r="G95" s="1" t="s">
        <v>101</v>
      </c>
      <c r="H95" s="1">
        <v>53.34</v>
      </c>
      <c r="I95" s="1">
        <v>3</v>
      </c>
      <c r="J95" s="1">
        <v>16.535399999999996</v>
      </c>
      <c r="K95" s="1">
        <v>0</v>
      </c>
    </row>
    <row r="96" spans="1:11" x14ac:dyDescent="0.45">
      <c r="A96" s="1">
        <v>95</v>
      </c>
      <c r="B96" s="1" t="s">
        <v>333</v>
      </c>
      <c r="C96" s="2">
        <v>42400</v>
      </c>
      <c r="D96" s="1" t="s">
        <v>469</v>
      </c>
      <c r="E96" s="1" t="s">
        <v>4</v>
      </c>
      <c r="F96" s="1" t="s">
        <v>8</v>
      </c>
      <c r="G96" s="1" t="s">
        <v>102</v>
      </c>
      <c r="H96" s="1">
        <v>32.96</v>
      </c>
      <c r="I96" s="1">
        <v>2</v>
      </c>
      <c r="J96" s="1">
        <v>16.150400000000001</v>
      </c>
      <c r="K96" s="1">
        <v>0</v>
      </c>
    </row>
    <row r="97" spans="1:11" x14ac:dyDescent="0.45">
      <c r="A97" s="1">
        <v>96</v>
      </c>
      <c r="B97" s="1" t="s">
        <v>334</v>
      </c>
      <c r="C97" s="2">
        <v>43410</v>
      </c>
      <c r="D97" s="1" t="s">
        <v>470</v>
      </c>
      <c r="E97" s="1" t="s">
        <v>3</v>
      </c>
      <c r="F97" s="1" t="s">
        <v>8</v>
      </c>
      <c r="G97" s="1" t="s">
        <v>103</v>
      </c>
      <c r="H97" s="1">
        <v>5.6820000000000013</v>
      </c>
      <c r="I97" s="1">
        <v>1</v>
      </c>
      <c r="J97" s="1">
        <v>-3.7880000000000003</v>
      </c>
      <c r="K97" s="1">
        <v>0.7</v>
      </c>
    </row>
    <row r="98" spans="1:11" x14ac:dyDescent="0.45">
      <c r="A98" s="1">
        <v>97</v>
      </c>
      <c r="B98" s="1" t="s">
        <v>335</v>
      </c>
      <c r="C98" s="2">
        <v>43413</v>
      </c>
      <c r="D98" s="1" t="s">
        <v>471</v>
      </c>
      <c r="E98" s="1" t="s">
        <v>5</v>
      </c>
      <c r="F98" s="1" t="s">
        <v>7</v>
      </c>
      <c r="G98" s="1" t="s">
        <v>104</v>
      </c>
      <c r="H98" s="1">
        <v>96.53</v>
      </c>
      <c r="I98" s="1">
        <v>7</v>
      </c>
      <c r="J98" s="1">
        <v>40.5426</v>
      </c>
      <c r="K98" s="1">
        <v>0</v>
      </c>
    </row>
    <row r="99" spans="1:11" x14ac:dyDescent="0.45">
      <c r="A99" s="1">
        <v>98</v>
      </c>
      <c r="B99" s="1" t="s">
        <v>336</v>
      </c>
      <c r="C99" s="2">
        <v>43268</v>
      </c>
      <c r="D99" s="1" t="s">
        <v>472</v>
      </c>
      <c r="E99" s="1" t="s">
        <v>3</v>
      </c>
      <c r="F99" s="1" t="s">
        <v>8</v>
      </c>
      <c r="G99" s="1" t="s">
        <v>105</v>
      </c>
      <c r="H99" s="1">
        <v>51.311999999999998</v>
      </c>
      <c r="I99" s="1">
        <v>3</v>
      </c>
      <c r="J99" s="1">
        <v>17.959199999999999</v>
      </c>
      <c r="K99" s="1">
        <v>0.2</v>
      </c>
    </row>
    <row r="100" spans="1:11" x14ac:dyDescent="0.45">
      <c r="A100" s="1">
        <v>99</v>
      </c>
      <c r="B100" s="1" t="s">
        <v>337</v>
      </c>
      <c r="C100" s="2">
        <v>42984</v>
      </c>
      <c r="D100" s="1" t="s">
        <v>473</v>
      </c>
      <c r="E100" s="1" t="s">
        <v>4</v>
      </c>
      <c r="F100" s="1" t="s">
        <v>8</v>
      </c>
      <c r="G100" s="1" t="s">
        <v>106</v>
      </c>
      <c r="H100" s="1">
        <v>77.88</v>
      </c>
      <c r="I100" s="1">
        <v>6</v>
      </c>
      <c r="J100" s="1">
        <v>22.585199999999993</v>
      </c>
      <c r="K100" s="1">
        <v>0</v>
      </c>
    </row>
    <row r="101" spans="1:11" x14ac:dyDescent="0.45">
      <c r="A101" s="1">
        <v>100</v>
      </c>
      <c r="B101" s="1" t="s">
        <v>338</v>
      </c>
      <c r="C101" s="2">
        <v>42976</v>
      </c>
      <c r="D101" s="1" t="s">
        <v>474</v>
      </c>
      <c r="E101" s="1" t="s">
        <v>4</v>
      </c>
      <c r="F101" s="1" t="s">
        <v>8</v>
      </c>
      <c r="G101" s="1" t="s">
        <v>107</v>
      </c>
      <c r="H101" s="1">
        <v>64.623999999999995</v>
      </c>
      <c r="I101" s="1">
        <v>7</v>
      </c>
      <c r="J101" s="1">
        <v>22.618399999999994</v>
      </c>
      <c r="K101" s="1">
        <v>0.2</v>
      </c>
    </row>
    <row r="102" spans="1:11" x14ac:dyDescent="0.45">
      <c r="A102" s="1">
        <v>101</v>
      </c>
      <c r="B102" s="1" t="s">
        <v>338</v>
      </c>
      <c r="C102" s="2">
        <v>42976</v>
      </c>
      <c r="D102" s="1" t="s">
        <v>474</v>
      </c>
      <c r="E102" s="1" t="s">
        <v>4</v>
      </c>
      <c r="F102" s="1" t="s">
        <v>9</v>
      </c>
      <c r="G102" s="1" t="s">
        <v>108</v>
      </c>
      <c r="H102" s="1">
        <v>95.976000000000013</v>
      </c>
      <c r="I102" s="1">
        <v>3</v>
      </c>
      <c r="J102" s="1">
        <v>-10.797300000000011</v>
      </c>
      <c r="K102" s="1">
        <v>0.2</v>
      </c>
    </row>
    <row r="103" spans="1:11" x14ac:dyDescent="0.45">
      <c r="A103" s="1">
        <v>102</v>
      </c>
      <c r="B103" s="1" t="s">
        <v>338</v>
      </c>
      <c r="C103" s="2">
        <v>42976</v>
      </c>
      <c r="D103" s="1" t="s">
        <v>474</v>
      </c>
      <c r="E103" s="1" t="s">
        <v>4</v>
      </c>
      <c r="F103" s="1" t="s">
        <v>8</v>
      </c>
      <c r="G103" s="1" t="s">
        <v>109</v>
      </c>
      <c r="H103" s="1">
        <v>1.7879999999999996</v>
      </c>
      <c r="I103" s="1">
        <v>3</v>
      </c>
      <c r="J103" s="1">
        <v>-3.0396000000000001</v>
      </c>
      <c r="K103" s="1">
        <v>0.8</v>
      </c>
    </row>
    <row r="104" spans="1:11" x14ac:dyDescent="0.45">
      <c r="A104" s="1">
        <v>103</v>
      </c>
      <c r="B104" s="1" t="s">
        <v>339</v>
      </c>
      <c r="C104" s="2">
        <v>43070</v>
      </c>
      <c r="D104" s="1" t="s">
        <v>475</v>
      </c>
      <c r="E104" s="1" t="s">
        <v>4</v>
      </c>
      <c r="F104" s="1" t="s">
        <v>8</v>
      </c>
      <c r="G104" s="1" t="s">
        <v>110</v>
      </c>
      <c r="H104" s="1">
        <v>23.92</v>
      </c>
      <c r="I104" s="1">
        <v>4</v>
      </c>
      <c r="J104" s="1">
        <v>11.720800000000001</v>
      </c>
      <c r="K104" s="1">
        <v>0</v>
      </c>
    </row>
    <row r="105" spans="1:11" x14ac:dyDescent="0.45">
      <c r="A105" s="1">
        <v>104</v>
      </c>
      <c r="B105" s="1" t="s">
        <v>340</v>
      </c>
      <c r="C105" s="2">
        <v>42687</v>
      </c>
      <c r="D105" s="1" t="s">
        <v>476</v>
      </c>
      <c r="E105" s="1" t="s">
        <v>3</v>
      </c>
      <c r="F105" s="1" t="s">
        <v>9</v>
      </c>
      <c r="G105" s="1" t="s">
        <v>111</v>
      </c>
      <c r="H105" s="1">
        <v>238.89600000000002</v>
      </c>
      <c r="I105" s="1">
        <v>6</v>
      </c>
      <c r="J105" s="1">
        <v>-26.875800000000012</v>
      </c>
      <c r="K105" s="1">
        <v>0.2</v>
      </c>
    </row>
    <row r="106" spans="1:11" x14ac:dyDescent="0.45">
      <c r="A106" s="1">
        <v>105</v>
      </c>
      <c r="B106" s="1" t="s">
        <v>340</v>
      </c>
      <c r="C106" s="2">
        <v>42687</v>
      </c>
      <c r="D106" s="1" t="s">
        <v>476</v>
      </c>
      <c r="E106" s="1" t="s">
        <v>3</v>
      </c>
      <c r="F106" s="1" t="s">
        <v>7</v>
      </c>
      <c r="G106" s="1" t="s">
        <v>112</v>
      </c>
      <c r="H106" s="1">
        <v>102.35999999999999</v>
      </c>
      <c r="I106" s="1">
        <v>3</v>
      </c>
      <c r="J106" s="1">
        <v>-3.8385000000000105</v>
      </c>
      <c r="K106" s="1">
        <v>0.2</v>
      </c>
    </row>
    <row r="107" spans="1:11" x14ac:dyDescent="0.45">
      <c r="A107" s="1">
        <v>106</v>
      </c>
      <c r="B107" s="1" t="s">
        <v>340</v>
      </c>
      <c r="C107" s="2">
        <v>42687</v>
      </c>
      <c r="D107" s="1" t="s">
        <v>476</v>
      </c>
      <c r="E107" s="1" t="s">
        <v>3</v>
      </c>
      <c r="F107" s="1" t="s">
        <v>8</v>
      </c>
      <c r="G107" s="1" t="s">
        <v>113</v>
      </c>
      <c r="H107" s="1">
        <v>36.882000000000005</v>
      </c>
      <c r="I107" s="1">
        <v>3</v>
      </c>
      <c r="J107" s="1">
        <v>-25.817399999999999</v>
      </c>
      <c r="K107" s="1">
        <v>0.7</v>
      </c>
    </row>
    <row r="108" spans="1:11" x14ac:dyDescent="0.45">
      <c r="A108" s="1">
        <v>107</v>
      </c>
      <c r="B108" s="1" t="s">
        <v>341</v>
      </c>
      <c r="C108" s="2">
        <v>43427</v>
      </c>
      <c r="D108" s="1" t="s">
        <v>477</v>
      </c>
      <c r="E108" s="1" t="s">
        <v>2</v>
      </c>
      <c r="F108" s="1" t="s">
        <v>9</v>
      </c>
      <c r="G108" s="1" t="s">
        <v>114</v>
      </c>
      <c r="H108" s="1">
        <v>74.112000000000009</v>
      </c>
      <c r="I108" s="1">
        <v>8</v>
      </c>
      <c r="J108" s="1">
        <v>17.601600000000001</v>
      </c>
      <c r="K108" s="1">
        <v>0.2</v>
      </c>
    </row>
    <row r="109" spans="1:11" x14ac:dyDescent="0.45">
      <c r="A109" s="1">
        <v>108</v>
      </c>
      <c r="B109" s="1" t="s">
        <v>341</v>
      </c>
      <c r="C109" s="2">
        <v>43427</v>
      </c>
      <c r="D109" s="1" t="s">
        <v>477</v>
      </c>
      <c r="E109" s="1" t="s">
        <v>2</v>
      </c>
      <c r="F109" s="1" t="s">
        <v>9</v>
      </c>
      <c r="G109" s="1" t="s">
        <v>115</v>
      </c>
      <c r="H109" s="1">
        <v>27.992000000000004</v>
      </c>
      <c r="I109" s="1">
        <v>1</v>
      </c>
      <c r="J109" s="1">
        <v>2.0993999999999993</v>
      </c>
      <c r="K109" s="1">
        <v>0.2</v>
      </c>
    </row>
    <row r="110" spans="1:11" x14ac:dyDescent="0.45">
      <c r="A110" s="1">
        <v>109</v>
      </c>
      <c r="B110" s="1" t="s">
        <v>341</v>
      </c>
      <c r="C110" s="2">
        <v>43427</v>
      </c>
      <c r="D110" s="1" t="s">
        <v>477</v>
      </c>
      <c r="E110" s="1" t="s">
        <v>2</v>
      </c>
      <c r="F110" s="1" t="s">
        <v>8</v>
      </c>
      <c r="G110" s="1" t="s">
        <v>116</v>
      </c>
      <c r="H110" s="1">
        <v>3.3040000000000003</v>
      </c>
      <c r="I110" s="1">
        <v>1</v>
      </c>
      <c r="J110" s="1">
        <v>1.0737999999999999</v>
      </c>
      <c r="K110" s="1">
        <v>0.2</v>
      </c>
    </row>
    <row r="111" spans="1:11" x14ac:dyDescent="0.45">
      <c r="A111" s="1">
        <v>110</v>
      </c>
      <c r="B111" s="1" t="s">
        <v>342</v>
      </c>
      <c r="C111" s="2">
        <v>42658</v>
      </c>
      <c r="D111" s="1" t="s">
        <v>478</v>
      </c>
      <c r="E111" s="1" t="s">
        <v>4</v>
      </c>
      <c r="F111" s="1" t="s">
        <v>9</v>
      </c>
      <c r="G111" s="1" t="s">
        <v>117</v>
      </c>
      <c r="H111" s="1">
        <v>339.96000000000004</v>
      </c>
      <c r="I111" s="1">
        <v>5</v>
      </c>
      <c r="J111" s="1">
        <v>67.991999999999962</v>
      </c>
      <c r="K111" s="1">
        <v>0.2</v>
      </c>
    </row>
    <row r="112" spans="1:11" x14ac:dyDescent="0.45">
      <c r="A112" s="1">
        <v>111</v>
      </c>
      <c r="B112" s="1" t="s">
        <v>343</v>
      </c>
      <c r="C112" s="2">
        <v>43459</v>
      </c>
      <c r="D112" s="1" t="s">
        <v>479</v>
      </c>
      <c r="E112" s="1" t="s">
        <v>5</v>
      </c>
      <c r="F112" s="1" t="s">
        <v>7</v>
      </c>
      <c r="G112" s="1" t="s">
        <v>118</v>
      </c>
      <c r="H112" s="1">
        <v>41.96</v>
      </c>
      <c r="I112" s="1">
        <v>2</v>
      </c>
      <c r="J112" s="1">
        <v>10.909600000000001</v>
      </c>
      <c r="K112" s="1">
        <v>0</v>
      </c>
    </row>
    <row r="113" spans="1:11" x14ac:dyDescent="0.45">
      <c r="A113" s="1">
        <v>112</v>
      </c>
      <c r="B113" s="1" t="s">
        <v>344</v>
      </c>
      <c r="C113" s="2">
        <v>43042</v>
      </c>
      <c r="D113" s="1" t="s">
        <v>480</v>
      </c>
      <c r="E113" s="1" t="s">
        <v>4</v>
      </c>
      <c r="F113" s="1" t="s">
        <v>8</v>
      </c>
      <c r="G113" s="1" t="s">
        <v>119</v>
      </c>
      <c r="H113" s="1">
        <v>75.959999999999994</v>
      </c>
      <c r="I113" s="1">
        <v>2</v>
      </c>
      <c r="J113" s="1">
        <v>22.78799999999999</v>
      </c>
      <c r="K113" s="1">
        <v>0</v>
      </c>
    </row>
    <row r="114" spans="1:11" x14ac:dyDescent="0.45">
      <c r="A114" s="1">
        <v>113</v>
      </c>
      <c r="B114" s="1" t="s">
        <v>344</v>
      </c>
      <c r="C114" s="2">
        <v>43042</v>
      </c>
      <c r="D114" s="1" t="s">
        <v>480</v>
      </c>
      <c r="E114" s="1" t="s">
        <v>4</v>
      </c>
      <c r="F114" s="1" t="s">
        <v>8</v>
      </c>
      <c r="G114" s="1" t="s">
        <v>120</v>
      </c>
      <c r="H114" s="1">
        <v>27.240000000000002</v>
      </c>
      <c r="I114" s="1">
        <v>6</v>
      </c>
      <c r="J114" s="1">
        <v>13.3476</v>
      </c>
      <c r="K114" s="1">
        <v>0</v>
      </c>
    </row>
    <row r="115" spans="1:11" x14ac:dyDescent="0.45">
      <c r="A115" s="1">
        <v>114</v>
      </c>
      <c r="B115" s="1" t="s">
        <v>345</v>
      </c>
      <c r="C115" s="2">
        <v>42241</v>
      </c>
      <c r="D115" s="1" t="s">
        <v>481</v>
      </c>
      <c r="E115" s="1" t="s">
        <v>5</v>
      </c>
      <c r="F115" s="1" t="s">
        <v>8</v>
      </c>
      <c r="G115" s="1" t="s">
        <v>121</v>
      </c>
      <c r="H115" s="1">
        <v>40.096000000000004</v>
      </c>
      <c r="I115" s="1">
        <v>14</v>
      </c>
      <c r="J115" s="1">
        <v>14.534799999999997</v>
      </c>
      <c r="K115" s="1">
        <v>0.2</v>
      </c>
    </row>
    <row r="116" spans="1:11" x14ac:dyDescent="0.45">
      <c r="A116" s="1">
        <v>115</v>
      </c>
      <c r="B116" s="1" t="s">
        <v>345</v>
      </c>
      <c r="C116" s="2">
        <v>42241</v>
      </c>
      <c r="D116" s="1" t="s">
        <v>481</v>
      </c>
      <c r="E116" s="1" t="s">
        <v>5</v>
      </c>
      <c r="F116" s="1" t="s">
        <v>8</v>
      </c>
      <c r="G116" s="1" t="s">
        <v>122</v>
      </c>
      <c r="H116" s="1">
        <v>4.7200000000000006</v>
      </c>
      <c r="I116" s="1">
        <v>2</v>
      </c>
      <c r="J116" s="1">
        <v>1.6519999999999997</v>
      </c>
      <c r="K116" s="1">
        <v>0.2</v>
      </c>
    </row>
    <row r="117" spans="1:11" x14ac:dyDescent="0.45">
      <c r="A117" s="1">
        <v>116</v>
      </c>
      <c r="B117" s="1" t="s">
        <v>345</v>
      </c>
      <c r="C117" s="2">
        <v>42241</v>
      </c>
      <c r="D117" s="1" t="s">
        <v>481</v>
      </c>
      <c r="E117" s="1" t="s">
        <v>5</v>
      </c>
      <c r="F117" s="1" t="s">
        <v>8</v>
      </c>
      <c r="G117" s="1" t="s">
        <v>123</v>
      </c>
      <c r="H117" s="1">
        <v>23.976000000000003</v>
      </c>
      <c r="I117" s="1">
        <v>3</v>
      </c>
      <c r="J117" s="1">
        <v>7.4924999999999988</v>
      </c>
      <c r="K117" s="1">
        <v>0.2</v>
      </c>
    </row>
    <row r="118" spans="1:11" x14ac:dyDescent="0.45">
      <c r="A118" s="1">
        <v>117</v>
      </c>
      <c r="B118" s="1" t="s">
        <v>345</v>
      </c>
      <c r="C118" s="2">
        <v>42241</v>
      </c>
      <c r="D118" s="1" t="s">
        <v>481</v>
      </c>
      <c r="E118" s="1" t="s">
        <v>5</v>
      </c>
      <c r="F118" s="1" t="s">
        <v>8</v>
      </c>
      <c r="G118" s="1" t="s">
        <v>124</v>
      </c>
      <c r="H118" s="1">
        <v>130.464</v>
      </c>
      <c r="I118" s="1">
        <v>6</v>
      </c>
      <c r="J118" s="1">
        <v>44.031599999999997</v>
      </c>
      <c r="K118" s="1">
        <v>0.2</v>
      </c>
    </row>
    <row r="119" spans="1:11" x14ac:dyDescent="0.45">
      <c r="A119" s="1">
        <v>118</v>
      </c>
      <c r="B119" s="1" t="s">
        <v>346</v>
      </c>
      <c r="C119" s="2">
        <v>42431</v>
      </c>
      <c r="D119" s="1" t="s">
        <v>482</v>
      </c>
      <c r="E119" s="1" t="s">
        <v>3</v>
      </c>
      <c r="F119" s="1" t="s">
        <v>7</v>
      </c>
      <c r="G119" s="1" t="s">
        <v>125</v>
      </c>
      <c r="H119" s="1">
        <v>787.53</v>
      </c>
      <c r="I119" s="1">
        <v>3</v>
      </c>
      <c r="J119" s="1">
        <v>165.38129999999995</v>
      </c>
      <c r="K119" s="1">
        <v>0</v>
      </c>
    </row>
    <row r="120" spans="1:11" x14ac:dyDescent="0.45">
      <c r="A120" s="1">
        <v>119</v>
      </c>
      <c r="B120" s="1" t="s">
        <v>347</v>
      </c>
      <c r="C120" s="2">
        <v>42465</v>
      </c>
      <c r="D120" s="1" t="s">
        <v>483</v>
      </c>
      <c r="E120" s="1" t="s">
        <v>2</v>
      </c>
      <c r="F120" s="1" t="s">
        <v>8</v>
      </c>
      <c r="G120" s="1" t="s">
        <v>126</v>
      </c>
      <c r="H120" s="1">
        <v>157.79400000000004</v>
      </c>
      <c r="I120" s="1">
        <v>1</v>
      </c>
      <c r="J120" s="1">
        <v>-115.71559999999999</v>
      </c>
      <c r="K120" s="1">
        <v>0.7</v>
      </c>
    </row>
    <row r="121" spans="1:11" x14ac:dyDescent="0.45">
      <c r="A121" s="1">
        <v>120</v>
      </c>
      <c r="B121" s="1" t="s">
        <v>348</v>
      </c>
      <c r="C121" s="2">
        <v>42898</v>
      </c>
      <c r="D121" s="1" t="s">
        <v>484</v>
      </c>
      <c r="E121" s="1" t="s">
        <v>5</v>
      </c>
      <c r="F121" s="1" t="s">
        <v>7</v>
      </c>
      <c r="G121" s="1" t="s">
        <v>127</v>
      </c>
      <c r="H121" s="1">
        <v>47.04</v>
      </c>
      <c r="I121" s="1">
        <v>3</v>
      </c>
      <c r="J121" s="1">
        <v>18.345599999999997</v>
      </c>
      <c r="K121" s="1">
        <v>0</v>
      </c>
    </row>
    <row r="122" spans="1:11" x14ac:dyDescent="0.45">
      <c r="A122" s="1">
        <v>121</v>
      </c>
      <c r="B122" s="1" t="s">
        <v>348</v>
      </c>
      <c r="C122" s="2">
        <v>42898</v>
      </c>
      <c r="D122" s="1" t="s">
        <v>484</v>
      </c>
      <c r="E122" s="1" t="s">
        <v>5</v>
      </c>
      <c r="F122" s="1" t="s">
        <v>8</v>
      </c>
      <c r="G122" s="1" t="s">
        <v>19</v>
      </c>
      <c r="H122" s="1">
        <v>30.84</v>
      </c>
      <c r="I122" s="1">
        <v>4</v>
      </c>
      <c r="J122" s="1">
        <v>13.878</v>
      </c>
      <c r="K122" s="1">
        <v>0</v>
      </c>
    </row>
    <row r="123" spans="1:11" x14ac:dyDescent="0.45">
      <c r="A123" s="1">
        <v>122</v>
      </c>
      <c r="B123" s="1" t="s">
        <v>348</v>
      </c>
      <c r="C123" s="2">
        <v>42898</v>
      </c>
      <c r="D123" s="1" t="s">
        <v>484</v>
      </c>
      <c r="E123" s="1" t="s">
        <v>5</v>
      </c>
      <c r="F123" s="1" t="s">
        <v>8</v>
      </c>
      <c r="G123" s="1" t="s">
        <v>128</v>
      </c>
      <c r="H123" s="1">
        <v>226.56</v>
      </c>
      <c r="I123" s="1">
        <v>6</v>
      </c>
      <c r="J123" s="1">
        <v>63.436800000000005</v>
      </c>
      <c r="K123" s="1">
        <v>0</v>
      </c>
    </row>
    <row r="124" spans="1:11" x14ac:dyDescent="0.45">
      <c r="A124" s="1">
        <v>123</v>
      </c>
      <c r="B124" s="1" t="s">
        <v>348</v>
      </c>
      <c r="C124" s="2">
        <v>42898</v>
      </c>
      <c r="D124" s="1" t="s">
        <v>484</v>
      </c>
      <c r="E124" s="1" t="s">
        <v>5</v>
      </c>
      <c r="F124" s="1" t="s">
        <v>8</v>
      </c>
      <c r="G124" s="1" t="s">
        <v>129</v>
      </c>
      <c r="H124" s="1">
        <v>115.02</v>
      </c>
      <c r="I124" s="1">
        <v>9</v>
      </c>
      <c r="J124" s="1">
        <v>51.758999999999993</v>
      </c>
      <c r="K124" s="1">
        <v>0</v>
      </c>
    </row>
    <row r="125" spans="1:11" x14ac:dyDescent="0.45">
      <c r="A125" s="1">
        <v>124</v>
      </c>
      <c r="B125" s="1" t="s">
        <v>348</v>
      </c>
      <c r="C125" s="2">
        <v>42898</v>
      </c>
      <c r="D125" s="1" t="s">
        <v>484</v>
      </c>
      <c r="E125" s="1" t="s">
        <v>5</v>
      </c>
      <c r="F125" s="1" t="s">
        <v>9</v>
      </c>
      <c r="G125" s="1" t="s">
        <v>130</v>
      </c>
      <c r="H125" s="1">
        <v>68.040000000000006</v>
      </c>
      <c r="I125" s="1">
        <v>7</v>
      </c>
      <c r="J125" s="1">
        <v>19.731599999999997</v>
      </c>
      <c r="K125" s="1">
        <v>0</v>
      </c>
    </row>
    <row r="126" spans="1:11" x14ac:dyDescent="0.45">
      <c r="A126" s="1">
        <v>125</v>
      </c>
      <c r="B126" s="1" t="s">
        <v>349</v>
      </c>
      <c r="C126" s="2">
        <v>42364</v>
      </c>
      <c r="D126" s="1" t="s">
        <v>485</v>
      </c>
      <c r="E126" s="1" t="s">
        <v>4</v>
      </c>
      <c r="F126" s="1" t="s">
        <v>7</v>
      </c>
      <c r="G126" s="1" t="s">
        <v>131</v>
      </c>
      <c r="H126" s="1">
        <v>600.55799999999999</v>
      </c>
      <c r="I126" s="1">
        <v>3</v>
      </c>
      <c r="J126" s="1">
        <v>-8.5794000000000779</v>
      </c>
      <c r="K126" s="1">
        <v>0.3</v>
      </c>
    </row>
    <row r="127" spans="1:11" x14ac:dyDescent="0.45">
      <c r="A127" s="1">
        <v>126</v>
      </c>
      <c r="B127" s="1" t="s">
        <v>350</v>
      </c>
      <c r="C127" s="2">
        <v>42267</v>
      </c>
      <c r="D127" s="1" t="s">
        <v>486</v>
      </c>
      <c r="E127" s="1" t="s">
        <v>4</v>
      </c>
      <c r="F127" s="1" t="s">
        <v>7</v>
      </c>
      <c r="G127" s="1" t="s">
        <v>132</v>
      </c>
      <c r="H127" s="1">
        <v>617.70000000000005</v>
      </c>
      <c r="I127" s="1">
        <v>6</v>
      </c>
      <c r="J127" s="1">
        <v>-407.68200000000013</v>
      </c>
      <c r="K127" s="1">
        <v>0.5</v>
      </c>
    </row>
    <row r="128" spans="1:11" x14ac:dyDescent="0.45">
      <c r="A128" s="1">
        <v>127</v>
      </c>
      <c r="B128" s="1" t="s">
        <v>351</v>
      </c>
      <c r="C128" s="2">
        <v>43409</v>
      </c>
      <c r="D128" s="1" t="s">
        <v>487</v>
      </c>
      <c r="E128" s="1" t="s">
        <v>3</v>
      </c>
      <c r="F128" s="1" t="s">
        <v>8</v>
      </c>
      <c r="G128" s="1" t="s">
        <v>133</v>
      </c>
      <c r="H128" s="1">
        <v>2.3880000000000003</v>
      </c>
      <c r="I128" s="1">
        <v>2</v>
      </c>
      <c r="J128" s="1">
        <v>-1.8308</v>
      </c>
      <c r="K128" s="1">
        <v>0.7</v>
      </c>
    </row>
    <row r="129" spans="1:11" x14ac:dyDescent="0.45">
      <c r="A129" s="1">
        <v>128</v>
      </c>
      <c r="B129" s="1" t="s">
        <v>351</v>
      </c>
      <c r="C129" s="2">
        <v>43409</v>
      </c>
      <c r="D129" s="1" t="s">
        <v>487</v>
      </c>
      <c r="E129" s="1" t="s">
        <v>3</v>
      </c>
      <c r="F129" s="1" t="s">
        <v>8</v>
      </c>
      <c r="G129" s="1" t="s">
        <v>134</v>
      </c>
      <c r="H129" s="1">
        <v>243.99200000000002</v>
      </c>
      <c r="I129" s="1">
        <v>7</v>
      </c>
      <c r="J129" s="1">
        <v>30.498999999999981</v>
      </c>
      <c r="K129" s="1">
        <v>0.2</v>
      </c>
    </row>
    <row r="130" spans="1:11" x14ac:dyDescent="0.45">
      <c r="A130" s="1">
        <v>129</v>
      </c>
      <c r="B130" s="1" t="s">
        <v>352</v>
      </c>
      <c r="C130" s="2">
        <v>43045</v>
      </c>
      <c r="D130" s="1" t="s">
        <v>488</v>
      </c>
      <c r="E130" s="1" t="s">
        <v>3</v>
      </c>
      <c r="F130" s="1" t="s">
        <v>7</v>
      </c>
      <c r="G130" s="1" t="s">
        <v>135</v>
      </c>
      <c r="H130" s="1">
        <v>81.424000000000007</v>
      </c>
      <c r="I130" s="1">
        <v>2</v>
      </c>
      <c r="J130" s="1">
        <v>-9.1601999999999961</v>
      </c>
      <c r="K130" s="1">
        <v>0.2</v>
      </c>
    </row>
    <row r="131" spans="1:11" x14ac:dyDescent="0.45">
      <c r="A131" s="1">
        <v>130</v>
      </c>
      <c r="B131" s="1" t="s">
        <v>352</v>
      </c>
      <c r="C131" s="2">
        <v>43045</v>
      </c>
      <c r="D131" s="1" t="s">
        <v>488</v>
      </c>
      <c r="E131" s="1" t="s">
        <v>3</v>
      </c>
      <c r="F131" s="1" t="s">
        <v>7</v>
      </c>
      <c r="G131" s="1" t="s">
        <v>136</v>
      </c>
      <c r="H131" s="1">
        <v>238.56</v>
      </c>
      <c r="I131" s="1">
        <v>3</v>
      </c>
      <c r="J131" s="1">
        <v>26.241599999999977</v>
      </c>
      <c r="K131" s="1">
        <v>0</v>
      </c>
    </row>
    <row r="132" spans="1:11" x14ac:dyDescent="0.45">
      <c r="A132" s="1">
        <v>131</v>
      </c>
      <c r="B132" s="1" t="s">
        <v>353</v>
      </c>
      <c r="C132" s="2">
        <v>43133</v>
      </c>
      <c r="D132" s="1" t="s">
        <v>489</v>
      </c>
      <c r="E132" s="1" t="s">
        <v>5</v>
      </c>
      <c r="F132" s="1" t="s">
        <v>9</v>
      </c>
      <c r="G132" s="1" t="s">
        <v>137</v>
      </c>
      <c r="H132" s="1">
        <v>59.969999999999992</v>
      </c>
      <c r="I132" s="1">
        <v>5</v>
      </c>
      <c r="J132" s="1">
        <v>-11.993999999999993</v>
      </c>
      <c r="K132" s="1">
        <v>0.4</v>
      </c>
    </row>
    <row r="133" spans="1:11" x14ac:dyDescent="0.45">
      <c r="A133" s="1">
        <v>132</v>
      </c>
      <c r="B133" s="1" t="s">
        <v>353</v>
      </c>
      <c r="C133" s="2">
        <v>43133</v>
      </c>
      <c r="D133" s="1" t="s">
        <v>489</v>
      </c>
      <c r="E133" s="1" t="s">
        <v>5</v>
      </c>
      <c r="F133" s="1" t="s">
        <v>8</v>
      </c>
      <c r="G133" s="1" t="s">
        <v>138</v>
      </c>
      <c r="H133" s="1">
        <v>78.304000000000002</v>
      </c>
      <c r="I133" s="1">
        <v>2</v>
      </c>
      <c r="J133" s="1">
        <v>29.363999999999997</v>
      </c>
      <c r="K133" s="1">
        <v>0.2</v>
      </c>
    </row>
    <row r="134" spans="1:11" x14ac:dyDescent="0.45">
      <c r="A134" s="1">
        <v>133</v>
      </c>
      <c r="B134" s="1" t="s">
        <v>353</v>
      </c>
      <c r="C134" s="2">
        <v>43133</v>
      </c>
      <c r="D134" s="1" t="s">
        <v>489</v>
      </c>
      <c r="E134" s="1" t="s">
        <v>5</v>
      </c>
      <c r="F134" s="1" t="s">
        <v>8</v>
      </c>
      <c r="G134" s="1" t="s">
        <v>139</v>
      </c>
      <c r="H134" s="1">
        <v>21.456</v>
      </c>
      <c r="I134" s="1">
        <v>9</v>
      </c>
      <c r="J134" s="1">
        <v>6.9731999999999976</v>
      </c>
      <c r="K134" s="1">
        <v>0.2</v>
      </c>
    </row>
    <row r="135" spans="1:11" x14ac:dyDescent="0.45">
      <c r="A135" s="1">
        <v>134</v>
      </c>
      <c r="B135" s="1" t="s">
        <v>354</v>
      </c>
      <c r="C135" s="2">
        <v>43021</v>
      </c>
      <c r="D135" s="1" t="s">
        <v>490</v>
      </c>
      <c r="E135" s="1" t="s">
        <v>3</v>
      </c>
      <c r="F135" s="1" t="s">
        <v>8</v>
      </c>
      <c r="G135" s="1" t="s">
        <v>140</v>
      </c>
      <c r="H135" s="1">
        <v>20.04</v>
      </c>
      <c r="I135" s="1">
        <v>3</v>
      </c>
      <c r="J135" s="1">
        <v>9.6191999999999993</v>
      </c>
      <c r="K135" s="1">
        <v>0</v>
      </c>
    </row>
    <row r="136" spans="1:11" x14ac:dyDescent="0.45">
      <c r="A136" s="1">
        <v>135</v>
      </c>
      <c r="B136" s="1" t="s">
        <v>354</v>
      </c>
      <c r="C136" s="2">
        <v>43021</v>
      </c>
      <c r="D136" s="1" t="s">
        <v>490</v>
      </c>
      <c r="E136" s="1" t="s">
        <v>3</v>
      </c>
      <c r="F136" s="1" t="s">
        <v>8</v>
      </c>
      <c r="G136" s="1" t="s">
        <v>141</v>
      </c>
      <c r="H136" s="1">
        <v>35.44</v>
      </c>
      <c r="I136" s="1">
        <v>1</v>
      </c>
      <c r="J136" s="1">
        <v>16.656799999999997</v>
      </c>
      <c r="K136" s="1">
        <v>0</v>
      </c>
    </row>
    <row r="137" spans="1:11" x14ac:dyDescent="0.45">
      <c r="A137" s="1">
        <v>136</v>
      </c>
      <c r="B137" s="1" t="s">
        <v>354</v>
      </c>
      <c r="C137" s="2">
        <v>43021</v>
      </c>
      <c r="D137" s="1" t="s">
        <v>490</v>
      </c>
      <c r="E137" s="1" t="s">
        <v>3</v>
      </c>
      <c r="F137" s="1" t="s">
        <v>8</v>
      </c>
      <c r="G137" s="1" t="s">
        <v>142</v>
      </c>
      <c r="H137" s="1">
        <v>11.52</v>
      </c>
      <c r="I137" s="1">
        <v>4</v>
      </c>
      <c r="J137" s="1">
        <v>3.4559999999999995</v>
      </c>
      <c r="K137" s="1">
        <v>0</v>
      </c>
    </row>
    <row r="138" spans="1:11" x14ac:dyDescent="0.45">
      <c r="A138" s="1">
        <v>137</v>
      </c>
      <c r="B138" s="1" t="s">
        <v>354</v>
      </c>
      <c r="C138" s="2">
        <v>43021</v>
      </c>
      <c r="D138" s="1" t="s">
        <v>490</v>
      </c>
      <c r="E138" s="1" t="s">
        <v>3</v>
      </c>
      <c r="F138" s="1" t="s">
        <v>8</v>
      </c>
      <c r="G138" s="1" t="s">
        <v>143</v>
      </c>
      <c r="H138" s="1">
        <v>4.0199999999999996</v>
      </c>
      <c r="I138" s="1">
        <v>2</v>
      </c>
      <c r="J138" s="1">
        <v>1.9697999999999998</v>
      </c>
      <c r="K138" s="1">
        <v>0</v>
      </c>
    </row>
    <row r="139" spans="1:11" x14ac:dyDescent="0.45">
      <c r="A139" s="1">
        <v>138</v>
      </c>
      <c r="B139" s="1" t="s">
        <v>354</v>
      </c>
      <c r="C139" s="2">
        <v>43021</v>
      </c>
      <c r="D139" s="1" t="s">
        <v>490</v>
      </c>
      <c r="E139" s="1" t="s">
        <v>3</v>
      </c>
      <c r="F139" s="1" t="s">
        <v>8</v>
      </c>
      <c r="G139" s="1" t="s">
        <v>144</v>
      </c>
      <c r="H139" s="1">
        <v>76.176000000000002</v>
      </c>
      <c r="I139" s="1">
        <v>3</v>
      </c>
      <c r="J139" s="1">
        <v>26.661599999999996</v>
      </c>
      <c r="K139" s="1">
        <v>0.2</v>
      </c>
    </row>
    <row r="140" spans="1:11" x14ac:dyDescent="0.45">
      <c r="A140" s="1">
        <v>139</v>
      </c>
      <c r="B140" s="1" t="s">
        <v>354</v>
      </c>
      <c r="C140" s="2">
        <v>43021</v>
      </c>
      <c r="D140" s="1" t="s">
        <v>490</v>
      </c>
      <c r="E140" s="1" t="s">
        <v>3</v>
      </c>
      <c r="F140" s="1" t="s">
        <v>8</v>
      </c>
      <c r="G140" s="1" t="s">
        <v>145</v>
      </c>
      <c r="H140" s="1">
        <v>65.88</v>
      </c>
      <c r="I140" s="1">
        <v>6</v>
      </c>
      <c r="J140" s="1">
        <v>18.446400000000004</v>
      </c>
      <c r="K140" s="1">
        <v>0</v>
      </c>
    </row>
    <row r="141" spans="1:11" x14ac:dyDescent="0.45">
      <c r="A141" s="1">
        <v>140</v>
      </c>
      <c r="B141" s="1" t="s">
        <v>354</v>
      </c>
      <c r="C141" s="2">
        <v>43021</v>
      </c>
      <c r="D141" s="1" t="s">
        <v>490</v>
      </c>
      <c r="E141" s="1" t="s">
        <v>3</v>
      </c>
      <c r="F141" s="1" t="s">
        <v>7</v>
      </c>
      <c r="G141" s="1" t="s">
        <v>61</v>
      </c>
      <c r="H141" s="1">
        <v>43.120000000000005</v>
      </c>
      <c r="I141" s="1">
        <v>14</v>
      </c>
      <c r="J141" s="1">
        <v>20.697599999999998</v>
      </c>
      <c r="K141" s="1">
        <v>0</v>
      </c>
    </row>
    <row r="142" spans="1:11" x14ac:dyDescent="0.45">
      <c r="A142" s="1">
        <v>141</v>
      </c>
      <c r="B142" s="1" t="s">
        <v>355</v>
      </c>
      <c r="C142" s="2">
        <v>42983</v>
      </c>
      <c r="D142" s="1" t="s">
        <v>491</v>
      </c>
      <c r="E142" s="1" t="s">
        <v>5</v>
      </c>
      <c r="F142" s="1" t="s">
        <v>7</v>
      </c>
      <c r="G142" s="1" t="s">
        <v>39</v>
      </c>
      <c r="H142" s="1">
        <v>82.800000000000011</v>
      </c>
      <c r="I142" s="1">
        <v>2</v>
      </c>
      <c r="J142" s="1">
        <v>10.349999999999994</v>
      </c>
      <c r="K142" s="1">
        <v>0.2</v>
      </c>
    </row>
    <row r="143" spans="1:11" x14ac:dyDescent="0.45">
      <c r="A143" s="1">
        <v>142</v>
      </c>
      <c r="B143" s="1" t="s">
        <v>356</v>
      </c>
      <c r="C143" s="2">
        <v>43361</v>
      </c>
      <c r="D143" s="1" t="s">
        <v>492</v>
      </c>
      <c r="E143" s="1" t="s">
        <v>3</v>
      </c>
      <c r="F143" s="1" t="s">
        <v>8</v>
      </c>
      <c r="G143" s="1" t="s">
        <v>146</v>
      </c>
      <c r="H143" s="1">
        <v>8.82</v>
      </c>
      <c r="I143" s="1">
        <v>3</v>
      </c>
      <c r="J143" s="1">
        <v>2.3814000000000002</v>
      </c>
      <c r="K143" s="1">
        <v>0</v>
      </c>
    </row>
    <row r="144" spans="1:11" x14ac:dyDescent="0.45">
      <c r="A144" s="1">
        <v>143</v>
      </c>
      <c r="B144" s="1" t="s">
        <v>356</v>
      </c>
      <c r="C144" s="2">
        <v>43361</v>
      </c>
      <c r="D144" s="1" t="s">
        <v>492</v>
      </c>
      <c r="E144" s="1" t="s">
        <v>3</v>
      </c>
      <c r="F144" s="1" t="s">
        <v>8</v>
      </c>
      <c r="G144" s="1" t="s">
        <v>147</v>
      </c>
      <c r="H144" s="1">
        <v>10.86</v>
      </c>
      <c r="I144" s="1">
        <v>3</v>
      </c>
      <c r="J144" s="1">
        <v>5.1042000000000005</v>
      </c>
      <c r="K144" s="1">
        <v>0</v>
      </c>
    </row>
    <row r="145" spans="1:11" x14ac:dyDescent="0.45">
      <c r="A145" s="1">
        <v>144</v>
      </c>
      <c r="B145" s="1" t="s">
        <v>356</v>
      </c>
      <c r="C145" s="2">
        <v>43361</v>
      </c>
      <c r="D145" s="1" t="s">
        <v>492</v>
      </c>
      <c r="E145" s="1" t="s">
        <v>3</v>
      </c>
      <c r="F145" s="1" t="s">
        <v>8</v>
      </c>
      <c r="G145" s="1" t="s">
        <v>148</v>
      </c>
      <c r="H145" s="1">
        <v>143.69999999999999</v>
      </c>
      <c r="I145" s="1">
        <v>3</v>
      </c>
      <c r="J145" s="1">
        <v>68.975999999999999</v>
      </c>
      <c r="K145" s="1">
        <v>0</v>
      </c>
    </row>
    <row r="146" spans="1:11" x14ac:dyDescent="0.45">
      <c r="A146" s="1">
        <v>145</v>
      </c>
      <c r="B146" s="1" t="s">
        <v>357</v>
      </c>
      <c r="C146" s="2">
        <v>43456</v>
      </c>
      <c r="D146" s="1" t="s">
        <v>493</v>
      </c>
      <c r="E146" s="1" t="s">
        <v>4</v>
      </c>
      <c r="F146" s="1" t="s">
        <v>8</v>
      </c>
      <c r="G146" s="1" t="s">
        <v>149</v>
      </c>
      <c r="H146" s="1">
        <v>839.43000000000006</v>
      </c>
      <c r="I146" s="1">
        <v>3</v>
      </c>
      <c r="J146" s="1">
        <v>218.25179999999997</v>
      </c>
      <c r="K146" s="1">
        <v>0</v>
      </c>
    </row>
    <row r="147" spans="1:11" x14ac:dyDescent="0.45">
      <c r="A147" s="1">
        <v>146</v>
      </c>
      <c r="B147" s="1" t="s">
        <v>358</v>
      </c>
      <c r="C147" s="2">
        <v>42620</v>
      </c>
      <c r="D147" s="1" t="s">
        <v>494</v>
      </c>
      <c r="E147" s="1" t="s">
        <v>3</v>
      </c>
      <c r="F147" s="1" t="s">
        <v>8</v>
      </c>
      <c r="G147" s="1" t="s">
        <v>93</v>
      </c>
      <c r="H147" s="1">
        <v>671.93</v>
      </c>
      <c r="I147" s="1">
        <v>7</v>
      </c>
      <c r="J147" s="1">
        <v>20.157899999999998</v>
      </c>
      <c r="K147" s="1">
        <v>0</v>
      </c>
    </row>
    <row r="148" spans="1:11" x14ac:dyDescent="0.45">
      <c r="A148" s="1">
        <v>147</v>
      </c>
      <c r="B148" s="1" t="s">
        <v>359</v>
      </c>
      <c r="C148" s="2">
        <v>42299</v>
      </c>
      <c r="D148" s="1" t="s">
        <v>495</v>
      </c>
      <c r="E148" s="1" t="s">
        <v>5</v>
      </c>
      <c r="F148" s="1" t="s">
        <v>7</v>
      </c>
      <c r="G148" s="1" t="s">
        <v>150</v>
      </c>
      <c r="H148" s="1">
        <v>93.888000000000005</v>
      </c>
      <c r="I148" s="1">
        <v>4</v>
      </c>
      <c r="J148" s="1">
        <v>12.90959999999999</v>
      </c>
      <c r="K148" s="1">
        <v>0.2</v>
      </c>
    </row>
    <row r="149" spans="1:11" x14ac:dyDescent="0.45">
      <c r="A149" s="1">
        <v>148</v>
      </c>
      <c r="B149" s="1" t="s">
        <v>360</v>
      </c>
      <c r="C149" s="2">
        <v>43074</v>
      </c>
      <c r="D149" s="1" t="s">
        <v>496</v>
      </c>
      <c r="E149" s="1" t="s">
        <v>4</v>
      </c>
      <c r="F149" s="1" t="s">
        <v>9</v>
      </c>
      <c r="G149" s="1" t="s">
        <v>151</v>
      </c>
      <c r="H149" s="1">
        <v>384.45000000000005</v>
      </c>
      <c r="I149" s="1">
        <v>11</v>
      </c>
      <c r="J149" s="1">
        <v>103.80150000000003</v>
      </c>
      <c r="K149" s="1">
        <v>0</v>
      </c>
    </row>
    <row r="150" spans="1:11" x14ac:dyDescent="0.45">
      <c r="A150" s="1">
        <v>149</v>
      </c>
      <c r="B150" s="1" t="s">
        <v>360</v>
      </c>
      <c r="C150" s="2">
        <v>43074</v>
      </c>
      <c r="D150" s="1" t="s">
        <v>496</v>
      </c>
      <c r="E150" s="1" t="s">
        <v>4</v>
      </c>
      <c r="F150" s="1" t="s">
        <v>9</v>
      </c>
      <c r="G150" s="1" t="s">
        <v>152</v>
      </c>
      <c r="H150" s="1">
        <v>149.97</v>
      </c>
      <c r="I150" s="1">
        <v>3</v>
      </c>
      <c r="J150" s="1">
        <v>5.9987999999999815</v>
      </c>
      <c r="K150" s="1">
        <v>0</v>
      </c>
    </row>
    <row r="151" spans="1:11" x14ac:dyDescent="0.45">
      <c r="A151" s="1">
        <v>150</v>
      </c>
      <c r="B151" s="1" t="s">
        <v>360</v>
      </c>
      <c r="C151" s="2">
        <v>43074</v>
      </c>
      <c r="D151" s="1" t="s">
        <v>496</v>
      </c>
      <c r="E151" s="1" t="s">
        <v>4</v>
      </c>
      <c r="F151" s="1" t="s">
        <v>7</v>
      </c>
      <c r="G151" s="1" t="s">
        <v>12</v>
      </c>
      <c r="H151" s="1">
        <v>1951.84</v>
      </c>
      <c r="I151" s="1">
        <v>8</v>
      </c>
      <c r="J151" s="1">
        <v>585.55199999999991</v>
      </c>
      <c r="K151" s="1">
        <v>0</v>
      </c>
    </row>
    <row r="152" spans="1:11" x14ac:dyDescent="0.45">
      <c r="A152" s="1">
        <v>151</v>
      </c>
      <c r="B152" s="1" t="s">
        <v>360</v>
      </c>
      <c r="C152" s="2">
        <v>43074</v>
      </c>
      <c r="D152" s="1" t="s">
        <v>496</v>
      </c>
      <c r="E152" s="1" t="s">
        <v>4</v>
      </c>
      <c r="F152" s="1" t="s">
        <v>8</v>
      </c>
      <c r="G152" s="1" t="s">
        <v>153</v>
      </c>
      <c r="H152" s="1">
        <v>171.55</v>
      </c>
      <c r="I152" s="1">
        <v>5</v>
      </c>
      <c r="J152" s="1">
        <v>80.628500000000003</v>
      </c>
      <c r="K152" s="1">
        <v>0</v>
      </c>
    </row>
    <row r="153" spans="1:11" x14ac:dyDescent="0.45">
      <c r="A153" s="1">
        <v>152</v>
      </c>
      <c r="B153" s="1" t="s">
        <v>361</v>
      </c>
      <c r="C153" s="2">
        <v>42807</v>
      </c>
      <c r="D153" s="1" t="s">
        <v>497</v>
      </c>
      <c r="E153" s="1" t="s">
        <v>3</v>
      </c>
      <c r="F153" s="1" t="s">
        <v>8</v>
      </c>
      <c r="G153" s="1" t="s">
        <v>154</v>
      </c>
      <c r="H153" s="1">
        <v>157.91999999999999</v>
      </c>
      <c r="I153" s="1">
        <v>5</v>
      </c>
      <c r="J153" s="1">
        <v>17.765999999999991</v>
      </c>
      <c r="K153" s="1">
        <v>0.2</v>
      </c>
    </row>
    <row r="154" spans="1:11" x14ac:dyDescent="0.45">
      <c r="A154" s="1">
        <v>153</v>
      </c>
      <c r="B154" s="1" t="s">
        <v>361</v>
      </c>
      <c r="C154" s="2">
        <v>42807</v>
      </c>
      <c r="D154" s="1" t="s">
        <v>497</v>
      </c>
      <c r="E154" s="1" t="s">
        <v>3</v>
      </c>
      <c r="F154" s="1" t="s">
        <v>9</v>
      </c>
      <c r="G154" s="1" t="s">
        <v>155</v>
      </c>
      <c r="H154" s="1">
        <v>203.184</v>
      </c>
      <c r="I154" s="1">
        <v>2</v>
      </c>
      <c r="J154" s="1">
        <v>15.238799999999991</v>
      </c>
      <c r="K154" s="1">
        <v>0.2</v>
      </c>
    </row>
    <row r="155" spans="1:11" x14ac:dyDescent="0.45">
      <c r="A155" s="1">
        <v>154</v>
      </c>
      <c r="B155" s="1" t="s">
        <v>362</v>
      </c>
      <c r="C155" s="2">
        <v>42521</v>
      </c>
      <c r="D155" s="1" t="s">
        <v>498</v>
      </c>
      <c r="E155" s="1" t="s">
        <v>3</v>
      </c>
      <c r="F155" s="1" t="s">
        <v>8</v>
      </c>
      <c r="G155" s="1" t="s">
        <v>156</v>
      </c>
      <c r="H155" s="1">
        <v>58.379999999999995</v>
      </c>
      <c r="I155" s="1">
        <v>7</v>
      </c>
      <c r="J155" s="1">
        <v>26.270999999999994</v>
      </c>
      <c r="K155" s="1">
        <v>0</v>
      </c>
    </row>
    <row r="156" spans="1:11" x14ac:dyDescent="0.45">
      <c r="A156" s="1">
        <v>155</v>
      </c>
      <c r="B156" s="1" t="s">
        <v>362</v>
      </c>
      <c r="C156" s="2">
        <v>42521</v>
      </c>
      <c r="D156" s="1" t="s">
        <v>498</v>
      </c>
      <c r="E156" s="1" t="s">
        <v>3</v>
      </c>
      <c r="F156" s="1" t="s">
        <v>8</v>
      </c>
      <c r="G156" s="1" t="s">
        <v>157</v>
      </c>
      <c r="H156" s="1">
        <v>105.52</v>
      </c>
      <c r="I156" s="1">
        <v>4</v>
      </c>
      <c r="J156" s="1">
        <v>48.539199999999994</v>
      </c>
      <c r="K156" s="1">
        <v>0</v>
      </c>
    </row>
    <row r="157" spans="1:11" x14ac:dyDescent="0.45">
      <c r="A157" s="1">
        <v>156</v>
      </c>
      <c r="B157" s="1" t="s">
        <v>362</v>
      </c>
      <c r="C157" s="2">
        <v>42521</v>
      </c>
      <c r="D157" s="1" t="s">
        <v>498</v>
      </c>
      <c r="E157" s="1" t="s">
        <v>3</v>
      </c>
      <c r="F157" s="1" t="s">
        <v>8</v>
      </c>
      <c r="G157" s="1" t="s">
        <v>158</v>
      </c>
      <c r="H157" s="1">
        <v>80.88</v>
      </c>
      <c r="I157" s="1">
        <v>6</v>
      </c>
      <c r="J157" s="1">
        <v>21.028799999999997</v>
      </c>
      <c r="K157" s="1">
        <v>0</v>
      </c>
    </row>
    <row r="158" spans="1:11" x14ac:dyDescent="0.45">
      <c r="A158" s="1">
        <v>157</v>
      </c>
      <c r="B158" s="1" t="s">
        <v>363</v>
      </c>
      <c r="C158" s="2">
        <v>42518</v>
      </c>
      <c r="D158" s="1" t="s">
        <v>499</v>
      </c>
      <c r="E158" s="1" t="s">
        <v>3</v>
      </c>
      <c r="F158" s="1" t="s">
        <v>8</v>
      </c>
      <c r="G158" s="1" t="s">
        <v>159</v>
      </c>
      <c r="H158" s="1">
        <v>6.63</v>
      </c>
      <c r="I158" s="1">
        <v>3</v>
      </c>
      <c r="J158" s="1">
        <v>1.7901</v>
      </c>
      <c r="K158" s="1">
        <v>0</v>
      </c>
    </row>
    <row r="159" spans="1:11" x14ac:dyDescent="0.45">
      <c r="A159" s="1">
        <v>158</v>
      </c>
      <c r="B159" s="1" t="s">
        <v>364</v>
      </c>
      <c r="C159" s="2">
        <v>42064</v>
      </c>
      <c r="D159" s="1" t="s">
        <v>500</v>
      </c>
      <c r="E159" s="1" t="s">
        <v>3</v>
      </c>
      <c r="F159" s="1" t="s">
        <v>7</v>
      </c>
      <c r="G159" s="1" t="s">
        <v>131</v>
      </c>
      <c r="H159" s="1">
        <v>457.56800000000004</v>
      </c>
      <c r="I159" s="1">
        <v>2</v>
      </c>
      <c r="J159" s="1">
        <v>51.476399999999941</v>
      </c>
      <c r="K159" s="1">
        <v>0.2</v>
      </c>
    </row>
    <row r="160" spans="1:11" x14ac:dyDescent="0.45">
      <c r="A160" s="1">
        <v>159</v>
      </c>
      <c r="B160" s="1" t="s">
        <v>365</v>
      </c>
      <c r="C160" s="2">
        <v>43059</v>
      </c>
      <c r="D160" s="1" t="s">
        <v>501</v>
      </c>
      <c r="E160" s="1" t="s">
        <v>4</v>
      </c>
      <c r="F160" s="1" t="s">
        <v>8</v>
      </c>
      <c r="G160" s="1" t="s">
        <v>160</v>
      </c>
      <c r="H160" s="1">
        <v>14.62</v>
      </c>
      <c r="I160" s="1">
        <v>2</v>
      </c>
      <c r="J160" s="1">
        <v>6.8713999999999995</v>
      </c>
      <c r="K160" s="1">
        <v>0</v>
      </c>
    </row>
    <row r="161" spans="1:11" x14ac:dyDescent="0.45">
      <c r="A161" s="1">
        <v>160</v>
      </c>
      <c r="B161" s="1" t="s">
        <v>365</v>
      </c>
      <c r="C161" s="2">
        <v>43059</v>
      </c>
      <c r="D161" s="1" t="s">
        <v>501</v>
      </c>
      <c r="E161" s="1" t="s">
        <v>4</v>
      </c>
      <c r="F161" s="1" t="s">
        <v>9</v>
      </c>
      <c r="G161" s="1" t="s">
        <v>161</v>
      </c>
      <c r="H161" s="1">
        <v>944.93000000000006</v>
      </c>
      <c r="I161" s="1">
        <v>7</v>
      </c>
      <c r="J161" s="1">
        <v>236.23250000000002</v>
      </c>
      <c r="K161" s="1">
        <v>0</v>
      </c>
    </row>
    <row r="162" spans="1:11" x14ac:dyDescent="0.45">
      <c r="A162" s="1">
        <v>161</v>
      </c>
      <c r="B162" s="1" t="s">
        <v>366</v>
      </c>
      <c r="C162" s="2">
        <v>42866</v>
      </c>
      <c r="D162" s="1" t="s">
        <v>502</v>
      </c>
      <c r="E162" s="1" t="s">
        <v>3</v>
      </c>
      <c r="F162" s="1" t="s">
        <v>8</v>
      </c>
      <c r="G162" s="1" t="s">
        <v>162</v>
      </c>
      <c r="H162" s="1">
        <v>5.98</v>
      </c>
      <c r="I162" s="1">
        <v>1</v>
      </c>
      <c r="J162" s="1">
        <v>2.6909999999999998</v>
      </c>
      <c r="K162" s="1">
        <v>0</v>
      </c>
    </row>
    <row r="163" spans="1:11" x14ac:dyDescent="0.45">
      <c r="A163" s="1">
        <v>162</v>
      </c>
      <c r="B163" s="1" t="s">
        <v>367</v>
      </c>
      <c r="C163" s="2">
        <v>42732</v>
      </c>
      <c r="D163" s="1" t="s">
        <v>503</v>
      </c>
      <c r="E163" s="1" t="s">
        <v>5</v>
      </c>
      <c r="F163" s="1" t="s">
        <v>9</v>
      </c>
      <c r="G163" s="1" t="s">
        <v>163</v>
      </c>
      <c r="H163" s="1">
        <v>54.384000000000007</v>
      </c>
      <c r="I163" s="1">
        <v>2</v>
      </c>
      <c r="J163" s="1">
        <v>1.359599999999995</v>
      </c>
      <c r="K163" s="1">
        <v>0.2</v>
      </c>
    </row>
    <row r="164" spans="1:11" x14ac:dyDescent="0.45">
      <c r="A164" s="1">
        <v>163</v>
      </c>
      <c r="B164" s="1" t="s">
        <v>368</v>
      </c>
      <c r="C164" s="2">
        <v>43055</v>
      </c>
      <c r="D164" s="1" t="s">
        <v>504</v>
      </c>
      <c r="E164" s="1" t="s">
        <v>3</v>
      </c>
      <c r="F164" s="1" t="s">
        <v>8</v>
      </c>
      <c r="G164" s="1" t="s">
        <v>164</v>
      </c>
      <c r="H164" s="1">
        <v>28.4</v>
      </c>
      <c r="I164" s="1">
        <v>5</v>
      </c>
      <c r="J164" s="1">
        <v>13.347999999999997</v>
      </c>
      <c r="K164" s="1">
        <v>0</v>
      </c>
    </row>
    <row r="165" spans="1:11" x14ac:dyDescent="0.45">
      <c r="A165" s="1">
        <v>164</v>
      </c>
      <c r="B165" s="1" t="s">
        <v>369</v>
      </c>
      <c r="C165" s="2">
        <v>43046</v>
      </c>
      <c r="D165" s="1" t="s">
        <v>505</v>
      </c>
      <c r="E165" s="1" t="s">
        <v>3</v>
      </c>
      <c r="F165" s="1" t="s">
        <v>8</v>
      </c>
      <c r="G165" s="1" t="s">
        <v>165</v>
      </c>
      <c r="H165" s="1">
        <v>27.680000000000003</v>
      </c>
      <c r="I165" s="1">
        <v>2</v>
      </c>
      <c r="J165" s="1">
        <v>9.6879999999999988</v>
      </c>
      <c r="K165" s="1">
        <v>0.2</v>
      </c>
    </row>
    <row r="166" spans="1:11" x14ac:dyDescent="0.45">
      <c r="A166" s="1">
        <v>165</v>
      </c>
      <c r="B166" s="1" t="s">
        <v>370</v>
      </c>
      <c r="C166" s="2">
        <v>42255</v>
      </c>
      <c r="D166" s="1" t="s">
        <v>506</v>
      </c>
      <c r="E166" s="1" t="s">
        <v>4</v>
      </c>
      <c r="F166" s="1" t="s">
        <v>8</v>
      </c>
      <c r="G166" s="1" t="s">
        <v>166</v>
      </c>
      <c r="H166" s="1">
        <v>9.9359999999999999</v>
      </c>
      <c r="I166" s="1">
        <v>3</v>
      </c>
      <c r="J166" s="1">
        <v>2.7324000000000002</v>
      </c>
      <c r="K166" s="1">
        <v>0.2</v>
      </c>
    </row>
    <row r="167" spans="1:11" x14ac:dyDescent="0.45">
      <c r="A167" s="1">
        <v>166</v>
      </c>
      <c r="B167" s="1" t="s">
        <v>370</v>
      </c>
      <c r="C167" s="2">
        <v>42255</v>
      </c>
      <c r="D167" s="1" t="s">
        <v>506</v>
      </c>
      <c r="E167" s="1" t="s">
        <v>4</v>
      </c>
      <c r="F167" s="1" t="s">
        <v>9</v>
      </c>
      <c r="G167" s="1" t="s">
        <v>167</v>
      </c>
      <c r="H167" s="1">
        <v>8159.9519999999993</v>
      </c>
      <c r="I167" s="1">
        <v>8</v>
      </c>
      <c r="J167" s="1">
        <v>-1359.992000000002</v>
      </c>
      <c r="K167" s="1">
        <v>0.4</v>
      </c>
    </row>
    <row r="168" spans="1:11" x14ac:dyDescent="0.45">
      <c r="A168" s="1">
        <v>167</v>
      </c>
      <c r="B168" s="1" t="s">
        <v>370</v>
      </c>
      <c r="C168" s="2">
        <v>42255</v>
      </c>
      <c r="D168" s="1" t="s">
        <v>506</v>
      </c>
      <c r="E168" s="1" t="s">
        <v>4</v>
      </c>
      <c r="F168" s="1" t="s">
        <v>8</v>
      </c>
      <c r="G168" s="1" t="s">
        <v>168</v>
      </c>
      <c r="H168" s="1">
        <v>275.928</v>
      </c>
      <c r="I168" s="1">
        <v>3</v>
      </c>
      <c r="J168" s="1">
        <v>-58.634699999999995</v>
      </c>
      <c r="K168" s="1">
        <v>0.2</v>
      </c>
    </row>
    <row r="169" spans="1:11" x14ac:dyDescent="0.45">
      <c r="A169" s="1">
        <v>168</v>
      </c>
      <c r="B169" s="1" t="s">
        <v>370</v>
      </c>
      <c r="C169" s="2">
        <v>42255</v>
      </c>
      <c r="D169" s="1" t="s">
        <v>506</v>
      </c>
      <c r="E169" s="1" t="s">
        <v>4</v>
      </c>
      <c r="F169" s="1" t="s">
        <v>7</v>
      </c>
      <c r="G169" s="1" t="s">
        <v>169</v>
      </c>
      <c r="H169" s="1">
        <v>1740.0599999999997</v>
      </c>
      <c r="I169" s="1">
        <v>9</v>
      </c>
      <c r="J169" s="1">
        <v>-24.858000000000175</v>
      </c>
      <c r="K169" s="1">
        <v>0.3</v>
      </c>
    </row>
    <row r="170" spans="1:11" x14ac:dyDescent="0.45">
      <c r="A170" s="1">
        <v>169</v>
      </c>
      <c r="B170" s="1" t="s">
        <v>370</v>
      </c>
      <c r="C170" s="2">
        <v>42255</v>
      </c>
      <c r="D170" s="1" t="s">
        <v>506</v>
      </c>
      <c r="E170" s="1" t="s">
        <v>4</v>
      </c>
      <c r="F170" s="1" t="s">
        <v>8</v>
      </c>
      <c r="G170" s="1" t="s">
        <v>170</v>
      </c>
      <c r="H170" s="1">
        <v>32.064</v>
      </c>
      <c r="I170" s="1">
        <v>6</v>
      </c>
      <c r="J170" s="1">
        <v>6.8135999999999974</v>
      </c>
      <c r="K170" s="1">
        <v>0.2</v>
      </c>
    </row>
    <row r="171" spans="1:11" x14ac:dyDescent="0.45">
      <c r="A171" s="1">
        <v>170</v>
      </c>
      <c r="B171" s="1" t="s">
        <v>370</v>
      </c>
      <c r="C171" s="2">
        <v>42255</v>
      </c>
      <c r="D171" s="1" t="s">
        <v>506</v>
      </c>
      <c r="E171" s="1" t="s">
        <v>4</v>
      </c>
      <c r="F171" s="1" t="s">
        <v>8</v>
      </c>
      <c r="G171" s="1" t="s">
        <v>171</v>
      </c>
      <c r="H171" s="1">
        <v>177.97999999999996</v>
      </c>
      <c r="I171" s="1">
        <v>5</v>
      </c>
      <c r="J171" s="1">
        <v>-453.84900000000005</v>
      </c>
      <c r="K171" s="1">
        <v>0.8</v>
      </c>
    </row>
    <row r="172" spans="1:11" x14ac:dyDescent="0.45">
      <c r="A172" s="1">
        <v>171</v>
      </c>
      <c r="B172" s="1" t="s">
        <v>370</v>
      </c>
      <c r="C172" s="2">
        <v>42255</v>
      </c>
      <c r="D172" s="1" t="s">
        <v>506</v>
      </c>
      <c r="E172" s="1" t="s">
        <v>4</v>
      </c>
      <c r="F172" s="1" t="s">
        <v>9</v>
      </c>
      <c r="G172" s="1" t="s">
        <v>172</v>
      </c>
      <c r="H172" s="1">
        <v>143.976</v>
      </c>
      <c r="I172" s="1">
        <v>3</v>
      </c>
      <c r="J172" s="1">
        <v>8.998500000000007</v>
      </c>
      <c r="K172" s="1">
        <v>0.2</v>
      </c>
    </row>
    <row r="173" spans="1:11" x14ac:dyDescent="0.45">
      <c r="A173" s="1">
        <v>172</v>
      </c>
      <c r="B173" s="1" t="s">
        <v>371</v>
      </c>
      <c r="C173" s="2">
        <v>42221</v>
      </c>
      <c r="D173" s="1" t="s">
        <v>507</v>
      </c>
      <c r="E173" s="1" t="s">
        <v>3</v>
      </c>
      <c r="F173" s="1" t="s">
        <v>8</v>
      </c>
      <c r="G173" s="1" t="s">
        <v>173</v>
      </c>
      <c r="H173" s="1">
        <v>20.94</v>
      </c>
      <c r="I173" s="1">
        <v>3</v>
      </c>
      <c r="J173" s="1">
        <v>9.841800000000001</v>
      </c>
      <c r="K173" s="1">
        <v>0</v>
      </c>
    </row>
    <row r="174" spans="1:11" x14ac:dyDescent="0.45">
      <c r="A174" s="1">
        <v>173</v>
      </c>
      <c r="B174" s="1" t="s">
        <v>371</v>
      </c>
      <c r="C174" s="2">
        <v>42221</v>
      </c>
      <c r="D174" s="1" t="s">
        <v>507</v>
      </c>
      <c r="E174" s="1" t="s">
        <v>3</v>
      </c>
      <c r="F174" s="1" t="s">
        <v>8</v>
      </c>
      <c r="G174" s="1" t="s">
        <v>174</v>
      </c>
      <c r="H174" s="1">
        <v>110.96</v>
      </c>
      <c r="I174" s="1">
        <v>2</v>
      </c>
      <c r="J174" s="1">
        <v>53.260799999999996</v>
      </c>
      <c r="K174" s="1">
        <v>0</v>
      </c>
    </row>
    <row r="175" spans="1:11" x14ac:dyDescent="0.45">
      <c r="A175" s="1">
        <v>174</v>
      </c>
      <c r="B175" s="1" t="s">
        <v>371</v>
      </c>
      <c r="C175" s="2">
        <v>42221</v>
      </c>
      <c r="D175" s="1" t="s">
        <v>507</v>
      </c>
      <c r="E175" s="1" t="s">
        <v>3</v>
      </c>
      <c r="F175" s="1" t="s">
        <v>7</v>
      </c>
      <c r="G175" s="1" t="s">
        <v>175</v>
      </c>
      <c r="H175" s="1">
        <v>340.14400000000006</v>
      </c>
      <c r="I175" s="1">
        <v>7</v>
      </c>
      <c r="J175" s="1">
        <v>21.259</v>
      </c>
      <c r="K175" s="1">
        <v>0.2</v>
      </c>
    </row>
    <row r="176" spans="1:11" x14ac:dyDescent="0.45">
      <c r="A176" s="1">
        <v>175</v>
      </c>
      <c r="B176" s="1" t="s">
        <v>372</v>
      </c>
      <c r="C176" s="2">
        <v>42261</v>
      </c>
      <c r="D176" s="1" t="s">
        <v>508</v>
      </c>
      <c r="E176" s="1" t="s">
        <v>4</v>
      </c>
      <c r="F176" s="1" t="s">
        <v>8</v>
      </c>
      <c r="G176" s="1" t="s">
        <v>176</v>
      </c>
      <c r="H176" s="1">
        <v>52.447999999999993</v>
      </c>
      <c r="I176" s="1">
        <v>2</v>
      </c>
      <c r="J176" s="1">
        <v>-131.12000000000003</v>
      </c>
      <c r="K176" s="1">
        <v>0.8</v>
      </c>
    </row>
    <row r="177" spans="1:11" x14ac:dyDescent="0.45">
      <c r="A177" s="1">
        <v>176</v>
      </c>
      <c r="B177" s="1" t="s">
        <v>372</v>
      </c>
      <c r="C177" s="2">
        <v>42261</v>
      </c>
      <c r="D177" s="1" t="s">
        <v>508</v>
      </c>
      <c r="E177" s="1" t="s">
        <v>4</v>
      </c>
      <c r="F177" s="1" t="s">
        <v>8</v>
      </c>
      <c r="G177" s="1" t="s">
        <v>177</v>
      </c>
      <c r="H177" s="1">
        <v>20.16</v>
      </c>
      <c r="I177" s="1">
        <v>4</v>
      </c>
      <c r="J177" s="1">
        <v>6.5519999999999987</v>
      </c>
      <c r="K177" s="1">
        <v>0.2</v>
      </c>
    </row>
    <row r="178" spans="1:11" x14ac:dyDescent="0.45">
      <c r="A178" s="1">
        <v>177</v>
      </c>
      <c r="B178" s="1" t="s">
        <v>373</v>
      </c>
      <c r="C178" s="2">
        <v>43211</v>
      </c>
      <c r="D178" s="1" t="s">
        <v>509</v>
      </c>
      <c r="E178" s="1" t="s">
        <v>4</v>
      </c>
      <c r="F178" s="1" t="s">
        <v>8</v>
      </c>
      <c r="G178" s="1" t="s">
        <v>178</v>
      </c>
      <c r="H178" s="1">
        <v>97.263999999999982</v>
      </c>
      <c r="I178" s="1">
        <v>4</v>
      </c>
      <c r="J178" s="1">
        <v>-243.16000000000008</v>
      </c>
      <c r="K178" s="1">
        <v>0.8</v>
      </c>
    </row>
    <row r="179" spans="1:11" x14ac:dyDescent="0.45">
      <c r="A179" s="1">
        <v>178</v>
      </c>
      <c r="B179" s="1" t="s">
        <v>374</v>
      </c>
      <c r="C179" s="2">
        <v>42695</v>
      </c>
      <c r="D179" s="1" t="s">
        <v>460</v>
      </c>
      <c r="E179" s="1" t="s">
        <v>5</v>
      </c>
      <c r="F179" s="1" t="s">
        <v>7</v>
      </c>
      <c r="G179" s="1" t="s">
        <v>179</v>
      </c>
      <c r="H179" s="1">
        <v>396.80200000000002</v>
      </c>
      <c r="I179" s="1">
        <v>7</v>
      </c>
      <c r="J179" s="1">
        <v>-11.337199999999939</v>
      </c>
      <c r="K179" s="1">
        <v>0.3</v>
      </c>
    </row>
    <row r="180" spans="1:11" x14ac:dyDescent="0.45">
      <c r="A180" s="1">
        <v>179</v>
      </c>
      <c r="B180" s="1" t="s">
        <v>374</v>
      </c>
      <c r="C180" s="2">
        <v>42695</v>
      </c>
      <c r="D180" s="1" t="s">
        <v>460</v>
      </c>
      <c r="E180" s="1" t="s">
        <v>5</v>
      </c>
      <c r="F180" s="1" t="s">
        <v>8</v>
      </c>
      <c r="G180" s="1" t="s">
        <v>180</v>
      </c>
      <c r="H180" s="1">
        <v>15.88</v>
      </c>
      <c r="I180" s="1">
        <v>5</v>
      </c>
      <c r="J180" s="1">
        <v>-3.771500000000001</v>
      </c>
      <c r="K180" s="1">
        <v>0.2</v>
      </c>
    </row>
    <row r="181" spans="1:11" x14ac:dyDescent="0.45">
      <c r="A181" s="1">
        <v>180</v>
      </c>
      <c r="B181" s="1" t="s">
        <v>375</v>
      </c>
      <c r="C181" s="2">
        <v>42719</v>
      </c>
      <c r="D181" s="1" t="s">
        <v>510</v>
      </c>
      <c r="E181" s="1" t="s">
        <v>5</v>
      </c>
      <c r="F181" s="1" t="s">
        <v>8</v>
      </c>
      <c r="G181" s="1" t="s">
        <v>181</v>
      </c>
      <c r="H181" s="1">
        <v>3.28</v>
      </c>
      <c r="I181" s="1">
        <v>1</v>
      </c>
      <c r="J181" s="1">
        <v>1.4104000000000001</v>
      </c>
      <c r="K181" s="1">
        <v>0</v>
      </c>
    </row>
    <row r="182" spans="1:11" x14ac:dyDescent="0.45">
      <c r="A182" s="1">
        <v>181</v>
      </c>
      <c r="B182" s="1" t="s">
        <v>376</v>
      </c>
      <c r="C182" s="2">
        <v>42343</v>
      </c>
      <c r="D182" s="1" t="s">
        <v>511</v>
      </c>
      <c r="E182" s="1" t="s">
        <v>4</v>
      </c>
      <c r="F182" s="1" t="s">
        <v>8</v>
      </c>
      <c r="G182" s="1" t="s">
        <v>182</v>
      </c>
      <c r="H182" s="1">
        <v>24.816000000000003</v>
      </c>
      <c r="I182" s="1">
        <v>2</v>
      </c>
      <c r="J182" s="1">
        <v>1.8612000000000002</v>
      </c>
      <c r="K182" s="1">
        <v>0.2</v>
      </c>
    </row>
    <row r="183" spans="1:11" x14ac:dyDescent="0.45">
      <c r="A183" s="1">
        <v>182</v>
      </c>
      <c r="B183" s="1" t="s">
        <v>376</v>
      </c>
      <c r="C183" s="2">
        <v>42343</v>
      </c>
      <c r="D183" s="1" t="s">
        <v>511</v>
      </c>
      <c r="E183" s="1" t="s">
        <v>4</v>
      </c>
      <c r="F183" s="1" t="s">
        <v>9</v>
      </c>
      <c r="G183" s="1" t="s">
        <v>183</v>
      </c>
      <c r="H183" s="1">
        <v>408.74399999999997</v>
      </c>
      <c r="I183" s="1">
        <v>7</v>
      </c>
      <c r="J183" s="1">
        <v>76.639499999999984</v>
      </c>
      <c r="K183" s="1">
        <v>0.2</v>
      </c>
    </row>
    <row r="184" spans="1:11" x14ac:dyDescent="0.45">
      <c r="A184" s="1">
        <v>183</v>
      </c>
      <c r="B184" s="1" t="s">
        <v>377</v>
      </c>
      <c r="C184" s="2">
        <v>42327</v>
      </c>
      <c r="D184" s="1" t="s">
        <v>512</v>
      </c>
      <c r="E184" s="1" t="s">
        <v>2</v>
      </c>
      <c r="F184" s="1" t="s">
        <v>9</v>
      </c>
      <c r="G184" s="1" t="s">
        <v>184</v>
      </c>
      <c r="H184" s="1">
        <v>503.96</v>
      </c>
      <c r="I184" s="1">
        <v>4</v>
      </c>
      <c r="J184" s="1">
        <v>131.02960000000002</v>
      </c>
      <c r="K184" s="1">
        <v>0</v>
      </c>
    </row>
    <row r="185" spans="1:11" x14ac:dyDescent="0.45">
      <c r="A185" s="1">
        <v>184</v>
      </c>
      <c r="B185" s="1" t="s">
        <v>377</v>
      </c>
      <c r="C185" s="2">
        <v>42327</v>
      </c>
      <c r="D185" s="1" t="s">
        <v>512</v>
      </c>
      <c r="E185" s="1" t="s">
        <v>2</v>
      </c>
      <c r="F185" s="1" t="s">
        <v>9</v>
      </c>
      <c r="G185" s="1" t="s">
        <v>185</v>
      </c>
      <c r="H185" s="1">
        <v>149.94999999999999</v>
      </c>
      <c r="I185" s="1">
        <v>5</v>
      </c>
      <c r="J185" s="1">
        <v>41.986000000000004</v>
      </c>
      <c r="K185" s="1">
        <v>0</v>
      </c>
    </row>
    <row r="186" spans="1:11" x14ac:dyDescent="0.45">
      <c r="A186" s="1">
        <v>185</v>
      </c>
      <c r="B186" s="1" t="s">
        <v>377</v>
      </c>
      <c r="C186" s="2">
        <v>42327</v>
      </c>
      <c r="D186" s="1" t="s">
        <v>512</v>
      </c>
      <c r="E186" s="1" t="s">
        <v>2</v>
      </c>
      <c r="F186" s="1" t="s">
        <v>9</v>
      </c>
      <c r="G186" s="1" t="s">
        <v>186</v>
      </c>
      <c r="H186" s="1">
        <v>29</v>
      </c>
      <c r="I186" s="1">
        <v>2</v>
      </c>
      <c r="J186" s="1">
        <v>7.25</v>
      </c>
      <c r="K186" s="1">
        <v>0</v>
      </c>
    </row>
    <row r="187" spans="1:11" x14ac:dyDescent="0.45">
      <c r="A187" s="1">
        <v>186</v>
      </c>
      <c r="B187" s="1" t="s">
        <v>378</v>
      </c>
      <c r="C187" s="2">
        <v>43067</v>
      </c>
      <c r="D187" s="1" t="s">
        <v>513</v>
      </c>
      <c r="E187" s="1" t="s">
        <v>5</v>
      </c>
      <c r="F187" s="1" t="s">
        <v>8</v>
      </c>
      <c r="G187" s="1" t="s">
        <v>187</v>
      </c>
      <c r="H187" s="1">
        <v>7.16</v>
      </c>
      <c r="I187" s="1">
        <v>2</v>
      </c>
      <c r="J187" s="1">
        <v>3.4367999999999999</v>
      </c>
      <c r="K187" s="1">
        <v>0</v>
      </c>
    </row>
    <row r="188" spans="1:11" x14ac:dyDescent="0.45">
      <c r="A188" s="1">
        <v>187</v>
      </c>
      <c r="B188" s="1" t="s">
        <v>379</v>
      </c>
      <c r="C188" s="2">
        <v>42242</v>
      </c>
      <c r="D188" s="1" t="s">
        <v>514</v>
      </c>
      <c r="E188" s="1" t="s">
        <v>3</v>
      </c>
      <c r="F188" s="1" t="s">
        <v>9</v>
      </c>
      <c r="G188" s="1" t="s">
        <v>188</v>
      </c>
      <c r="H188" s="1">
        <v>176.8</v>
      </c>
      <c r="I188" s="1">
        <v>8</v>
      </c>
      <c r="J188" s="1">
        <v>22.984000000000009</v>
      </c>
      <c r="K188" s="1">
        <v>0</v>
      </c>
    </row>
    <row r="189" spans="1:11" x14ac:dyDescent="0.45">
      <c r="A189" s="1">
        <v>188</v>
      </c>
      <c r="B189" s="1" t="s">
        <v>380</v>
      </c>
      <c r="C189" s="2">
        <v>42932</v>
      </c>
      <c r="D189" s="1" t="s">
        <v>515</v>
      </c>
      <c r="E189" s="1" t="s">
        <v>4</v>
      </c>
      <c r="F189" s="1" t="s">
        <v>8</v>
      </c>
      <c r="G189" s="1" t="s">
        <v>189</v>
      </c>
      <c r="H189" s="1">
        <v>37.224000000000004</v>
      </c>
      <c r="I189" s="1">
        <v>3</v>
      </c>
      <c r="J189" s="1">
        <v>3.7224000000000004</v>
      </c>
      <c r="K189" s="1">
        <v>0.2</v>
      </c>
    </row>
    <row r="190" spans="1:11" x14ac:dyDescent="0.45">
      <c r="A190" s="1">
        <v>189</v>
      </c>
      <c r="B190" s="1" t="s">
        <v>380</v>
      </c>
      <c r="C190" s="2">
        <v>42932</v>
      </c>
      <c r="D190" s="1" t="s">
        <v>515</v>
      </c>
      <c r="E190" s="1" t="s">
        <v>4</v>
      </c>
      <c r="F190" s="1" t="s">
        <v>8</v>
      </c>
      <c r="G190" s="1" t="s">
        <v>156</v>
      </c>
      <c r="H190" s="1">
        <v>20.016000000000002</v>
      </c>
      <c r="I190" s="1">
        <v>3</v>
      </c>
      <c r="J190" s="1">
        <v>6.2549999999999963</v>
      </c>
      <c r="K190" s="1">
        <v>0.2</v>
      </c>
    </row>
    <row r="191" spans="1:11" x14ac:dyDescent="0.45">
      <c r="A191" s="1">
        <v>190</v>
      </c>
      <c r="B191" s="1" t="s">
        <v>381</v>
      </c>
      <c r="C191" s="2">
        <v>42655</v>
      </c>
      <c r="D191" s="1" t="s">
        <v>516</v>
      </c>
      <c r="E191" s="1" t="s">
        <v>5</v>
      </c>
      <c r="F191" s="1" t="s">
        <v>7</v>
      </c>
      <c r="G191" s="1" t="s">
        <v>190</v>
      </c>
      <c r="H191" s="1">
        <v>899.13600000000008</v>
      </c>
      <c r="I191" s="1">
        <v>4</v>
      </c>
      <c r="J191" s="1">
        <v>112.39199999999991</v>
      </c>
      <c r="K191" s="1">
        <v>0.2</v>
      </c>
    </row>
    <row r="192" spans="1:11" x14ac:dyDescent="0.45">
      <c r="A192" s="1">
        <v>191</v>
      </c>
      <c r="B192" s="1" t="s">
        <v>381</v>
      </c>
      <c r="C192" s="2">
        <v>42655</v>
      </c>
      <c r="D192" s="1" t="s">
        <v>516</v>
      </c>
      <c r="E192" s="1" t="s">
        <v>5</v>
      </c>
      <c r="F192" s="1" t="s">
        <v>9</v>
      </c>
      <c r="G192" s="1" t="s">
        <v>191</v>
      </c>
      <c r="H192" s="1">
        <v>71.760000000000005</v>
      </c>
      <c r="I192" s="1">
        <v>6</v>
      </c>
      <c r="J192" s="1">
        <v>20.092800000000004</v>
      </c>
      <c r="K192" s="1">
        <v>0</v>
      </c>
    </row>
    <row r="193" spans="1:11" x14ac:dyDescent="0.45">
      <c r="A193" s="1">
        <v>192</v>
      </c>
      <c r="B193" s="1" t="s">
        <v>381</v>
      </c>
      <c r="C193" s="2">
        <v>42655</v>
      </c>
      <c r="D193" s="1" t="s">
        <v>516</v>
      </c>
      <c r="E193" s="1" t="s">
        <v>5</v>
      </c>
      <c r="F193" s="1" t="s">
        <v>8</v>
      </c>
      <c r="G193" s="1" t="s">
        <v>192</v>
      </c>
      <c r="H193" s="1">
        <v>51.84</v>
      </c>
      <c r="I193" s="1">
        <v>8</v>
      </c>
      <c r="J193" s="1">
        <v>24.883200000000002</v>
      </c>
      <c r="K193" s="1">
        <v>0</v>
      </c>
    </row>
    <row r="194" spans="1:11" x14ac:dyDescent="0.45">
      <c r="A194" s="1">
        <v>193</v>
      </c>
      <c r="B194" s="1" t="s">
        <v>381</v>
      </c>
      <c r="C194" s="2">
        <v>42655</v>
      </c>
      <c r="D194" s="1" t="s">
        <v>516</v>
      </c>
      <c r="E194" s="1" t="s">
        <v>5</v>
      </c>
      <c r="F194" s="1" t="s">
        <v>7</v>
      </c>
      <c r="G194" s="1" t="s">
        <v>48</v>
      </c>
      <c r="H194" s="1">
        <v>626.35200000000009</v>
      </c>
      <c r="I194" s="1">
        <v>3</v>
      </c>
      <c r="J194" s="1">
        <v>46.976400000000012</v>
      </c>
      <c r="K194" s="1">
        <v>0.2</v>
      </c>
    </row>
    <row r="195" spans="1:11" x14ac:dyDescent="0.45">
      <c r="A195" s="1">
        <v>194</v>
      </c>
      <c r="B195" s="1" t="s">
        <v>381</v>
      </c>
      <c r="C195" s="2">
        <v>42655</v>
      </c>
      <c r="D195" s="1" t="s">
        <v>516</v>
      </c>
      <c r="E195" s="1" t="s">
        <v>5</v>
      </c>
      <c r="F195" s="1" t="s">
        <v>8</v>
      </c>
      <c r="G195" s="1" t="s">
        <v>193</v>
      </c>
      <c r="H195" s="1">
        <v>19.899999999999999</v>
      </c>
      <c r="I195" s="1">
        <v>5</v>
      </c>
      <c r="J195" s="1">
        <v>6.5669999999999984</v>
      </c>
      <c r="K195" s="1">
        <v>0</v>
      </c>
    </row>
    <row r="196" spans="1:11" x14ac:dyDescent="0.45">
      <c r="A196" s="1">
        <v>195</v>
      </c>
      <c r="B196" s="1" t="s">
        <v>382</v>
      </c>
      <c r="C196" s="2">
        <v>42674</v>
      </c>
      <c r="D196" s="1" t="s">
        <v>517</v>
      </c>
      <c r="E196" s="1" t="s">
        <v>3</v>
      </c>
      <c r="F196" s="1" t="s">
        <v>8</v>
      </c>
      <c r="G196" s="1" t="s">
        <v>40</v>
      </c>
      <c r="H196" s="1">
        <v>14.280000000000001</v>
      </c>
      <c r="I196" s="1">
        <v>7</v>
      </c>
      <c r="J196" s="1">
        <v>6.7115999999999989</v>
      </c>
      <c r="K196" s="1">
        <v>0</v>
      </c>
    </row>
    <row r="197" spans="1:11" x14ac:dyDescent="0.45">
      <c r="A197" s="1">
        <v>196</v>
      </c>
      <c r="B197" s="1" t="s">
        <v>383</v>
      </c>
      <c r="C197" s="2">
        <v>42084</v>
      </c>
      <c r="D197" s="1" t="s">
        <v>518</v>
      </c>
      <c r="E197" s="1" t="s">
        <v>5</v>
      </c>
      <c r="F197" s="1" t="s">
        <v>8</v>
      </c>
      <c r="G197" s="1" t="s">
        <v>194</v>
      </c>
      <c r="H197" s="1">
        <v>7.4080000000000004</v>
      </c>
      <c r="I197" s="1">
        <v>2</v>
      </c>
      <c r="J197" s="1">
        <v>1.2037999999999995</v>
      </c>
      <c r="K197" s="1">
        <v>0.2</v>
      </c>
    </row>
    <row r="198" spans="1:11" x14ac:dyDescent="0.45">
      <c r="A198" s="1">
        <v>197</v>
      </c>
      <c r="B198" s="1" t="s">
        <v>383</v>
      </c>
      <c r="C198" s="2">
        <v>42084</v>
      </c>
      <c r="D198" s="1" t="s">
        <v>518</v>
      </c>
      <c r="E198" s="1" t="s">
        <v>5</v>
      </c>
      <c r="F198" s="1" t="s">
        <v>8</v>
      </c>
      <c r="G198" s="1" t="s">
        <v>195</v>
      </c>
      <c r="H198" s="1">
        <v>6.048</v>
      </c>
      <c r="I198" s="1">
        <v>3</v>
      </c>
      <c r="J198" s="1">
        <v>1.5876000000000006</v>
      </c>
      <c r="K198" s="1">
        <v>0.2</v>
      </c>
    </row>
    <row r="199" spans="1:11" x14ac:dyDescent="0.45">
      <c r="A199" s="1">
        <v>198</v>
      </c>
      <c r="B199" s="1" t="s">
        <v>384</v>
      </c>
      <c r="C199" s="2">
        <v>43410</v>
      </c>
      <c r="D199" s="1" t="s">
        <v>519</v>
      </c>
      <c r="E199" s="1" t="s">
        <v>5</v>
      </c>
      <c r="F199" s="1" t="s">
        <v>8</v>
      </c>
      <c r="G199" s="1" t="s">
        <v>196</v>
      </c>
      <c r="H199" s="1">
        <v>46.26</v>
      </c>
      <c r="I199" s="1">
        <v>3</v>
      </c>
      <c r="J199" s="1">
        <v>12.0276</v>
      </c>
      <c r="K199" s="1">
        <v>0</v>
      </c>
    </row>
    <row r="200" spans="1:11" x14ac:dyDescent="0.45">
      <c r="A200" s="1">
        <v>199</v>
      </c>
      <c r="B200" s="1" t="s">
        <v>385</v>
      </c>
      <c r="C200" s="2">
        <v>43287</v>
      </c>
      <c r="D200" s="1" t="s">
        <v>520</v>
      </c>
      <c r="E200" s="1" t="s">
        <v>5</v>
      </c>
      <c r="F200" s="1" t="s">
        <v>8</v>
      </c>
      <c r="G200" s="1" t="s">
        <v>197</v>
      </c>
      <c r="H200" s="1">
        <v>2.9460000000000006</v>
      </c>
      <c r="I200" s="1">
        <v>2</v>
      </c>
      <c r="J200" s="1">
        <v>-2.2585999999999995</v>
      </c>
      <c r="K200" s="1">
        <v>0.7</v>
      </c>
    </row>
    <row r="201" spans="1:11" x14ac:dyDescent="0.45">
      <c r="A201" s="1">
        <v>200</v>
      </c>
      <c r="B201" s="1" t="s">
        <v>385</v>
      </c>
      <c r="C201" s="2">
        <v>43287</v>
      </c>
      <c r="D201" s="1" t="s">
        <v>520</v>
      </c>
      <c r="E201" s="1" t="s">
        <v>5</v>
      </c>
      <c r="F201" s="1" t="s">
        <v>8</v>
      </c>
      <c r="G201" s="1" t="s">
        <v>198</v>
      </c>
      <c r="H201" s="1">
        <v>16.056000000000001</v>
      </c>
      <c r="I201" s="1">
        <v>3</v>
      </c>
      <c r="J201" s="1">
        <v>5.8203000000000005</v>
      </c>
      <c r="K201" s="1">
        <v>0.2</v>
      </c>
    </row>
    <row r="202" spans="1:11" x14ac:dyDescent="0.45">
      <c r="A202" s="1">
        <v>201</v>
      </c>
      <c r="B202" s="1" t="s">
        <v>386</v>
      </c>
      <c r="C202" s="2">
        <v>43275</v>
      </c>
      <c r="D202" s="1" t="s">
        <v>521</v>
      </c>
      <c r="E202" s="1" t="s">
        <v>5</v>
      </c>
      <c r="F202" s="1" t="s">
        <v>8</v>
      </c>
      <c r="G202" s="1" t="s">
        <v>199</v>
      </c>
      <c r="H202" s="1">
        <v>21.744000000000003</v>
      </c>
      <c r="I202" s="1">
        <v>3</v>
      </c>
      <c r="J202" s="1">
        <v>6.794999999999999</v>
      </c>
      <c r="K202" s="1">
        <v>0.2</v>
      </c>
    </row>
    <row r="203" spans="1:11" x14ac:dyDescent="0.45">
      <c r="A203" s="1">
        <v>202</v>
      </c>
      <c r="B203" s="1" t="s">
        <v>387</v>
      </c>
      <c r="C203" s="2">
        <v>42219</v>
      </c>
      <c r="D203" s="1" t="s">
        <v>522</v>
      </c>
      <c r="E203" s="1" t="s">
        <v>3</v>
      </c>
      <c r="F203" s="1" t="s">
        <v>7</v>
      </c>
      <c r="G203" s="1" t="s">
        <v>200</v>
      </c>
      <c r="H203" s="1">
        <v>218.75</v>
      </c>
      <c r="I203" s="1">
        <v>2</v>
      </c>
      <c r="J203" s="1">
        <v>-161.875</v>
      </c>
      <c r="K203" s="1">
        <v>0.5</v>
      </c>
    </row>
    <row r="204" spans="1:11" x14ac:dyDescent="0.45">
      <c r="A204" s="1">
        <v>203</v>
      </c>
      <c r="B204" s="1" t="s">
        <v>387</v>
      </c>
      <c r="C204" s="2">
        <v>42219</v>
      </c>
      <c r="D204" s="1" t="s">
        <v>522</v>
      </c>
      <c r="E204" s="1" t="s">
        <v>3</v>
      </c>
      <c r="F204" s="1" t="s">
        <v>8</v>
      </c>
      <c r="G204" s="1" t="s">
        <v>201</v>
      </c>
      <c r="H204" s="1">
        <v>2.6</v>
      </c>
      <c r="I204" s="1">
        <v>1</v>
      </c>
      <c r="J204" s="1">
        <v>0.29249999999999987</v>
      </c>
      <c r="K204" s="1">
        <v>0.2</v>
      </c>
    </row>
    <row r="205" spans="1:11" x14ac:dyDescent="0.45">
      <c r="A205" s="1">
        <v>204</v>
      </c>
      <c r="B205" s="1" t="s">
        <v>388</v>
      </c>
      <c r="C205" s="2">
        <v>43451</v>
      </c>
      <c r="D205" s="1" t="s">
        <v>523</v>
      </c>
      <c r="E205" s="1" t="s">
        <v>4</v>
      </c>
      <c r="F205" s="1" t="s">
        <v>8</v>
      </c>
      <c r="G205" s="1" t="s">
        <v>202</v>
      </c>
      <c r="H205" s="1">
        <v>66.283999999999992</v>
      </c>
      <c r="I205" s="1">
        <v>2</v>
      </c>
      <c r="J205" s="1">
        <v>-178.96680000000001</v>
      </c>
      <c r="K205" s="1">
        <v>0.8</v>
      </c>
    </row>
    <row r="206" spans="1:11" x14ac:dyDescent="0.45">
      <c r="A206" s="1">
        <v>205</v>
      </c>
      <c r="B206" s="1" t="s">
        <v>389</v>
      </c>
      <c r="C206" s="2">
        <v>43254</v>
      </c>
      <c r="D206" s="1" t="s">
        <v>524</v>
      </c>
      <c r="E206" s="1" t="s">
        <v>2</v>
      </c>
      <c r="F206" s="1" t="s">
        <v>7</v>
      </c>
      <c r="G206" s="1" t="s">
        <v>203</v>
      </c>
      <c r="H206" s="1">
        <v>35.168000000000006</v>
      </c>
      <c r="I206" s="1">
        <v>7</v>
      </c>
      <c r="J206" s="1">
        <v>9.6712000000000025</v>
      </c>
      <c r="K206" s="1">
        <v>0.2</v>
      </c>
    </row>
    <row r="207" spans="1:11" x14ac:dyDescent="0.45">
      <c r="A207" s="1">
        <v>206</v>
      </c>
      <c r="B207" s="1" t="s">
        <v>390</v>
      </c>
      <c r="C207" s="2">
        <v>43443</v>
      </c>
      <c r="D207" s="1" t="s">
        <v>525</v>
      </c>
      <c r="E207" s="1" t="s">
        <v>3</v>
      </c>
      <c r="F207" s="1" t="s">
        <v>9</v>
      </c>
      <c r="G207" s="1" t="s">
        <v>204</v>
      </c>
      <c r="H207" s="1">
        <v>444.76800000000003</v>
      </c>
      <c r="I207" s="1">
        <v>4</v>
      </c>
      <c r="J207" s="1">
        <v>44.476800000000026</v>
      </c>
      <c r="K207" s="1">
        <v>0.2</v>
      </c>
    </row>
    <row r="208" spans="1:11" x14ac:dyDescent="0.45">
      <c r="A208" s="1">
        <v>207</v>
      </c>
      <c r="B208" s="1" t="s">
        <v>391</v>
      </c>
      <c r="C208" s="2">
        <v>43435</v>
      </c>
      <c r="D208" s="1" t="s">
        <v>526</v>
      </c>
      <c r="E208" s="1" t="s">
        <v>4</v>
      </c>
      <c r="F208" s="1" t="s">
        <v>8</v>
      </c>
      <c r="G208" s="1" t="s">
        <v>205</v>
      </c>
      <c r="H208" s="1">
        <v>83.92</v>
      </c>
      <c r="I208" s="1">
        <v>4</v>
      </c>
      <c r="J208" s="1">
        <v>5.8743999999999943</v>
      </c>
      <c r="K208" s="1">
        <v>0</v>
      </c>
    </row>
    <row r="209" spans="1:11" x14ac:dyDescent="0.45">
      <c r="A209" s="1">
        <v>208</v>
      </c>
      <c r="B209" s="1" t="s">
        <v>391</v>
      </c>
      <c r="C209" s="2">
        <v>43435</v>
      </c>
      <c r="D209" s="1" t="s">
        <v>526</v>
      </c>
      <c r="E209" s="1" t="s">
        <v>4</v>
      </c>
      <c r="F209" s="1" t="s">
        <v>9</v>
      </c>
      <c r="G209" s="1" t="s">
        <v>206</v>
      </c>
      <c r="H209" s="1">
        <v>131.97999999999999</v>
      </c>
      <c r="I209" s="1">
        <v>2</v>
      </c>
      <c r="J209" s="1">
        <v>35.634600000000006</v>
      </c>
      <c r="K209" s="1">
        <v>0</v>
      </c>
    </row>
    <row r="210" spans="1:11" x14ac:dyDescent="0.45">
      <c r="A210" s="1">
        <v>209</v>
      </c>
      <c r="B210" s="1" t="s">
        <v>391</v>
      </c>
      <c r="C210" s="2">
        <v>43435</v>
      </c>
      <c r="D210" s="1" t="s">
        <v>526</v>
      </c>
      <c r="E210" s="1" t="s">
        <v>4</v>
      </c>
      <c r="F210" s="1" t="s">
        <v>8</v>
      </c>
      <c r="G210" s="1" t="s">
        <v>133</v>
      </c>
      <c r="H210" s="1">
        <v>15.92</v>
      </c>
      <c r="I210" s="1">
        <v>4</v>
      </c>
      <c r="J210" s="1">
        <v>7.4824000000000002</v>
      </c>
      <c r="K210" s="1">
        <v>0</v>
      </c>
    </row>
    <row r="211" spans="1:11" x14ac:dyDescent="0.45">
      <c r="A211" s="1">
        <v>210</v>
      </c>
      <c r="B211" s="1" t="s">
        <v>391</v>
      </c>
      <c r="C211" s="2">
        <v>43435</v>
      </c>
      <c r="D211" s="1" t="s">
        <v>526</v>
      </c>
      <c r="E211" s="1" t="s">
        <v>4</v>
      </c>
      <c r="F211" s="1" t="s">
        <v>8</v>
      </c>
      <c r="G211" s="1" t="s">
        <v>207</v>
      </c>
      <c r="H211" s="1">
        <v>52.29</v>
      </c>
      <c r="I211" s="1">
        <v>9</v>
      </c>
      <c r="J211" s="1">
        <v>16.209899999999998</v>
      </c>
      <c r="K211" s="1">
        <v>0</v>
      </c>
    </row>
    <row r="212" spans="1:11" x14ac:dyDescent="0.45">
      <c r="A212" s="1">
        <v>211</v>
      </c>
      <c r="B212" s="1" t="s">
        <v>391</v>
      </c>
      <c r="C212" s="2">
        <v>43435</v>
      </c>
      <c r="D212" s="1" t="s">
        <v>526</v>
      </c>
      <c r="E212" s="1" t="s">
        <v>4</v>
      </c>
      <c r="F212" s="1" t="s">
        <v>8</v>
      </c>
      <c r="G212" s="1" t="s">
        <v>208</v>
      </c>
      <c r="H212" s="1">
        <v>91.99</v>
      </c>
      <c r="I212" s="1">
        <v>1</v>
      </c>
      <c r="J212" s="1">
        <v>3.6795999999999935</v>
      </c>
      <c r="K212" s="1">
        <v>0</v>
      </c>
    </row>
    <row r="213" spans="1:11" x14ac:dyDescent="0.45">
      <c r="A213" s="1">
        <v>212</v>
      </c>
      <c r="B213" s="1" t="s">
        <v>392</v>
      </c>
      <c r="C213" s="2">
        <v>42409</v>
      </c>
      <c r="D213" s="1" t="s">
        <v>527</v>
      </c>
      <c r="E213" s="1" t="s">
        <v>4</v>
      </c>
      <c r="F213" s="1" t="s">
        <v>9</v>
      </c>
      <c r="G213" s="1" t="s">
        <v>209</v>
      </c>
      <c r="H213" s="1">
        <v>20.8</v>
      </c>
      <c r="I213" s="1">
        <v>2</v>
      </c>
      <c r="J213" s="1">
        <v>6.4999999999999991</v>
      </c>
      <c r="K213" s="1">
        <v>0.2</v>
      </c>
    </row>
    <row r="214" spans="1:11" x14ac:dyDescent="0.45">
      <c r="A214" s="1">
        <v>213</v>
      </c>
      <c r="B214" s="1" t="s">
        <v>393</v>
      </c>
      <c r="C214" s="2">
        <v>42371</v>
      </c>
      <c r="D214" s="1" t="s">
        <v>528</v>
      </c>
      <c r="E214" s="1" t="s">
        <v>5</v>
      </c>
      <c r="F214" s="1" t="s">
        <v>8</v>
      </c>
      <c r="G214" s="1" t="s">
        <v>210</v>
      </c>
      <c r="H214" s="1">
        <v>23.680000000000003</v>
      </c>
      <c r="I214" s="1">
        <v>2</v>
      </c>
      <c r="J214" s="1">
        <v>8.879999999999999</v>
      </c>
      <c r="K214" s="1">
        <v>0.2</v>
      </c>
    </row>
    <row r="215" spans="1:11" x14ac:dyDescent="0.45">
      <c r="A215" s="1">
        <v>214</v>
      </c>
      <c r="B215" s="1" t="s">
        <v>393</v>
      </c>
      <c r="C215" s="2">
        <v>42371</v>
      </c>
      <c r="D215" s="1" t="s">
        <v>528</v>
      </c>
      <c r="E215" s="1" t="s">
        <v>5</v>
      </c>
      <c r="F215" s="1" t="s">
        <v>7</v>
      </c>
      <c r="G215" s="1" t="s">
        <v>211</v>
      </c>
      <c r="H215" s="1">
        <v>452.45</v>
      </c>
      <c r="I215" s="1">
        <v>5</v>
      </c>
      <c r="J215" s="1">
        <v>-244.32300000000006</v>
      </c>
      <c r="K215" s="1">
        <v>0.5</v>
      </c>
    </row>
    <row r="216" spans="1:11" x14ac:dyDescent="0.45">
      <c r="A216" s="1">
        <v>215</v>
      </c>
      <c r="B216" s="1" t="s">
        <v>393</v>
      </c>
      <c r="C216" s="2">
        <v>42371</v>
      </c>
      <c r="D216" s="1" t="s">
        <v>528</v>
      </c>
      <c r="E216" s="1" t="s">
        <v>5</v>
      </c>
      <c r="F216" s="1" t="s">
        <v>9</v>
      </c>
      <c r="G216" s="1" t="s">
        <v>115</v>
      </c>
      <c r="H216" s="1">
        <v>62.981999999999999</v>
      </c>
      <c r="I216" s="1">
        <v>3</v>
      </c>
      <c r="J216" s="1">
        <v>-14.695800000000006</v>
      </c>
      <c r="K216" s="1">
        <v>0.4</v>
      </c>
    </row>
    <row r="217" spans="1:11" x14ac:dyDescent="0.45">
      <c r="A217" s="1">
        <v>216</v>
      </c>
      <c r="B217" s="1" t="s">
        <v>393</v>
      </c>
      <c r="C217" s="2">
        <v>42371</v>
      </c>
      <c r="D217" s="1" t="s">
        <v>528</v>
      </c>
      <c r="E217" s="1" t="s">
        <v>5</v>
      </c>
      <c r="F217" s="1" t="s">
        <v>9</v>
      </c>
      <c r="G217" s="1" t="s">
        <v>212</v>
      </c>
      <c r="H217" s="1">
        <v>1188.0000000000002</v>
      </c>
      <c r="I217" s="1">
        <v>9</v>
      </c>
      <c r="J217" s="1">
        <v>-950.40000000000009</v>
      </c>
      <c r="K217" s="1">
        <v>0.7</v>
      </c>
    </row>
    <row r="218" spans="1:11" x14ac:dyDescent="0.45">
      <c r="A218" s="1">
        <v>217</v>
      </c>
      <c r="B218" s="1" t="s">
        <v>393</v>
      </c>
      <c r="C218" s="2">
        <v>42371</v>
      </c>
      <c r="D218" s="1" t="s">
        <v>528</v>
      </c>
      <c r="E218" s="1" t="s">
        <v>5</v>
      </c>
      <c r="F218" s="1" t="s">
        <v>9</v>
      </c>
      <c r="G218" s="1" t="s">
        <v>213</v>
      </c>
      <c r="H218" s="1">
        <v>89.584000000000003</v>
      </c>
      <c r="I218" s="1">
        <v>2</v>
      </c>
      <c r="J218" s="1">
        <v>4.4792000000000058</v>
      </c>
      <c r="K218" s="1">
        <v>0.2</v>
      </c>
    </row>
    <row r="219" spans="1:11" x14ac:dyDescent="0.45">
      <c r="A219" s="1">
        <v>218</v>
      </c>
      <c r="B219" s="1" t="s">
        <v>394</v>
      </c>
      <c r="C219" s="2">
        <v>43036</v>
      </c>
      <c r="D219" s="1" t="s">
        <v>529</v>
      </c>
      <c r="E219" s="1" t="s">
        <v>3</v>
      </c>
      <c r="F219" s="1" t="s">
        <v>8</v>
      </c>
      <c r="G219" s="1" t="s">
        <v>189</v>
      </c>
      <c r="H219" s="1">
        <v>93.06</v>
      </c>
      <c r="I219" s="1">
        <v>6</v>
      </c>
      <c r="J219" s="1">
        <v>26.056800000000003</v>
      </c>
      <c r="K219" s="1">
        <v>0</v>
      </c>
    </row>
    <row r="220" spans="1:11" x14ac:dyDescent="0.45">
      <c r="A220" s="1">
        <v>219</v>
      </c>
      <c r="B220" s="1" t="s">
        <v>394</v>
      </c>
      <c r="C220" s="2">
        <v>43036</v>
      </c>
      <c r="D220" s="1" t="s">
        <v>529</v>
      </c>
      <c r="E220" s="1" t="s">
        <v>3</v>
      </c>
      <c r="F220" s="1" t="s">
        <v>9</v>
      </c>
      <c r="G220" s="1" t="s">
        <v>214</v>
      </c>
      <c r="H220" s="1">
        <v>302.37599999999998</v>
      </c>
      <c r="I220" s="1">
        <v>3</v>
      </c>
      <c r="J220" s="1">
        <v>22.678200000000018</v>
      </c>
      <c r="K220" s="1">
        <v>0.2</v>
      </c>
    </row>
    <row r="221" spans="1:11" x14ac:dyDescent="0.45">
      <c r="A221" s="1">
        <v>220</v>
      </c>
      <c r="B221" s="1" t="s">
        <v>395</v>
      </c>
      <c r="C221" s="2">
        <v>42728</v>
      </c>
      <c r="D221" s="1" t="s">
        <v>530</v>
      </c>
      <c r="E221" s="1" t="s">
        <v>5</v>
      </c>
      <c r="F221" s="1" t="s">
        <v>8</v>
      </c>
      <c r="G221" s="1" t="s">
        <v>215</v>
      </c>
      <c r="H221" s="1">
        <v>5.5840000000000005</v>
      </c>
      <c r="I221" s="1">
        <v>2</v>
      </c>
      <c r="J221" s="1">
        <v>1.8147999999999997</v>
      </c>
      <c r="K221" s="1">
        <v>0.2</v>
      </c>
    </row>
    <row r="222" spans="1:11" x14ac:dyDescent="0.45">
      <c r="A222" s="1">
        <v>221</v>
      </c>
      <c r="B222" s="1" t="s">
        <v>395</v>
      </c>
      <c r="C222" s="2">
        <v>42728</v>
      </c>
      <c r="D222" s="1" t="s">
        <v>530</v>
      </c>
      <c r="E222" s="1" t="s">
        <v>5</v>
      </c>
      <c r="F222" s="1" t="s">
        <v>8</v>
      </c>
      <c r="G222" s="1" t="s">
        <v>216</v>
      </c>
      <c r="H222" s="1">
        <v>22.704000000000004</v>
      </c>
      <c r="I222" s="1">
        <v>6</v>
      </c>
      <c r="J222" s="1">
        <v>8.2302</v>
      </c>
      <c r="K222" s="1">
        <v>0.2</v>
      </c>
    </row>
    <row r="223" spans="1:11" x14ac:dyDescent="0.45">
      <c r="A223" s="1">
        <v>222</v>
      </c>
      <c r="B223" s="1" t="s">
        <v>395</v>
      </c>
      <c r="C223" s="2">
        <v>42728</v>
      </c>
      <c r="D223" s="1" t="s">
        <v>530</v>
      </c>
      <c r="E223" s="1" t="s">
        <v>5</v>
      </c>
      <c r="F223" s="1" t="s">
        <v>8</v>
      </c>
      <c r="G223" s="1" t="s">
        <v>102</v>
      </c>
      <c r="H223" s="1">
        <v>19.776000000000003</v>
      </c>
      <c r="I223" s="1">
        <v>4</v>
      </c>
      <c r="J223" s="1">
        <v>-13.843199999999996</v>
      </c>
      <c r="K223" s="1">
        <v>0.7</v>
      </c>
    </row>
    <row r="224" spans="1:11" x14ac:dyDescent="0.45">
      <c r="A224" s="1">
        <v>223</v>
      </c>
      <c r="B224" s="1" t="s">
        <v>395</v>
      </c>
      <c r="C224" s="2">
        <v>42728</v>
      </c>
      <c r="D224" s="1" t="s">
        <v>530</v>
      </c>
      <c r="E224" s="1" t="s">
        <v>5</v>
      </c>
      <c r="F224" s="1" t="s">
        <v>7</v>
      </c>
      <c r="G224" s="1" t="s">
        <v>217</v>
      </c>
      <c r="H224" s="1">
        <v>72.703999999999994</v>
      </c>
      <c r="I224" s="1">
        <v>4</v>
      </c>
      <c r="J224" s="1">
        <v>19.084800000000005</v>
      </c>
      <c r="K224" s="1">
        <v>0.2</v>
      </c>
    </row>
    <row r="225" spans="1:11" x14ac:dyDescent="0.45">
      <c r="A225" s="1">
        <v>224</v>
      </c>
      <c r="B225" s="1" t="s">
        <v>395</v>
      </c>
      <c r="C225" s="2">
        <v>42728</v>
      </c>
      <c r="D225" s="1" t="s">
        <v>530</v>
      </c>
      <c r="E225" s="1" t="s">
        <v>5</v>
      </c>
      <c r="F225" s="1" t="s">
        <v>9</v>
      </c>
      <c r="G225" s="1" t="s">
        <v>218</v>
      </c>
      <c r="H225" s="1">
        <v>479.98800000000006</v>
      </c>
      <c r="I225" s="1">
        <v>4</v>
      </c>
      <c r="J225" s="1">
        <v>-383.99040000000002</v>
      </c>
      <c r="K225" s="1">
        <v>0.7</v>
      </c>
    </row>
    <row r="226" spans="1:11" x14ac:dyDescent="0.45">
      <c r="A226" s="1">
        <v>225</v>
      </c>
      <c r="B226" s="1" t="s">
        <v>395</v>
      </c>
      <c r="C226" s="2">
        <v>42728</v>
      </c>
      <c r="D226" s="1" t="s">
        <v>530</v>
      </c>
      <c r="E226" s="1" t="s">
        <v>5</v>
      </c>
      <c r="F226" s="1" t="s">
        <v>8</v>
      </c>
      <c r="G226" s="1" t="s">
        <v>219</v>
      </c>
      <c r="H226" s="1">
        <v>27.168000000000003</v>
      </c>
      <c r="I226" s="1">
        <v>2</v>
      </c>
      <c r="J226" s="1">
        <v>2.7168000000000001</v>
      </c>
      <c r="K226" s="1">
        <v>0.2</v>
      </c>
    </row>
    <row r="227" spans="1:11" x14ac:dyDescent="0.45">
      <c r="A227" s="1">
        <v>226</v>
      </c>
      <c r="B227" s="1" t="s">
        <v>396</v>
      </c>
      <c r="C227" s="2">
        <v>42591</v>
      </c>
      <c r="D227" s="1" t="s">
        <v>531</v>
      </c>
      <c r="E227" s="1" t="s">
        <v>4</v>
      </c>
      <c r="F227" s="1" t="s">
        <v>8</v>
      </c>
      <c r="G227" s="1" t="s">
        <v>220</v>
      </c>
      <c r="H227" s="1">
        <v>2.2000000000000002</v>
      </c>
      <c r="I227" s="1">
        <v>1</v>
      </c>
      <c r="J227" s="1">
        <v>0.96800000000000019</v>
      </c>
      <c r="K227" s="1">
        <v>0</v>
      </c>
    </row>
    <row r="228" spans="1:11" x14ac:dyDescent="0.45">
      <c r="A228" s="1">
        <v>227</v>
      </c>
      <c r="B228" s="1" t="s">
        <v>396</v>
      </c>
      <c r="C228" s="2">
        <v>42591</v>
      </c>
      <c r="D228" s="1" t="s">
        <v>531</v>
      </c>
      <c r="E228" s="1" t="s">
        <v>4</v>
      </c>
      <c r="F228" s="1" t="s">
        <v>7</v>
      </c>
      <c r="G228" s="1" t="s">
        <v>221</v>
      </c>
      <c r="H228" s="1">
        <v>622.44999999999993</v>
      </c>
      <c r="I228" s="1">
        <v>5</v>
      </c>
      <c r="J228" s="1">
        <v>136.93899999999999</v>
      </c>
      <c r="K228" s="1">
        <v>0</v>
      </c>
    </row>
    <row r="229" spans="1:11" x14ac:dyDescent="0.45">
      <c r="A229" s="1">
        <v>228</v>
      </c>
      <c r="B229" s="1" t="s">
        <v>396</v>
      </c>
      <c r="C229" s="2">
        <v>42591</v>
      </c>
      <c r="D229" s="1" t="s">
        <v>531</v>
      </c>
      <c r="E229" s="1" t="s">
        <v>4</v>
      </c>
      <c r="F229" s="1" t="s">
        <v>8</v>
      </c>
      <c r="G229" s="1" t="s">
        <v>222</v>
      </c>
      <c r="H229" s="1">
        <v>21.98</v>
      </c>
      <c r="I229" s="1">
        <v>1</v>
      </c>
      <c r="J229" s="1">
        <v>0.21979999999999933</v>
      </c>
      <c r="K229" s="1">
        <v>0</v>
      </c>
    </row>
    <row r="230" spans="1:11" x14ac:dyDescent="0.45">
      <c r="A230" s="1">
        <v>229</v>
      </c>
      <c r="B230" s="1" t="s">
        <v>397</v>
      </c>
      <c r="C230" s="2">
        <v>42428</v>
      </c>
      <c r="D230" s="1" t="s">
        <v>532</v>
      </c>
      <c r="E230" s="1" t="s">
        <v>2</v>
      </c>
      <c r="F230" s="1" t="s">
        <v>7</v>
      </c>
      <c r="G230" s="1" t="s">
        <v>223</v>
      </c>
      <c r="H230" s="1">
        <v>161.56800000000001</v>
      </c>
      <c r="I230" s="1">
        <v>2</v>
      </c>
      <c r="J230" s="1">
        <v>-28.274400000000021</v>
      </c>
      <c r="K230" s="1">
        <v>0.2</v>
      </c>
    </row>
    <row r="231" spans="1:11" x14ac:dyDescent="0.45">
      <c r="A231" s="1">
        <v>230</v>
      </c>
      <c r="B231" s="1" t="s">
        <v>397</v>
      </c>
      <c r="C231" s="2">
        <v>42428</v>
      </c>
      <c r="D231" s="1" t="s">
        <v>532</v>
      </c>
      <c r="E231" s="1" t="s">
        <v>2</v>
      </c>
      <c r="F231" s="1" t="s">
        <v>7</v>
      </c>
      <c r="G231" s="1" t="s">
        <v>224</v>
      </c>
      <c r="H231" s="1">
        <v>389.69600000000003</v>
      </c>
      <c r="I231" s="1">
        <v>8</v>
      </c>
      <c r="J231" s="1">
        <v>43.840799999999973</v>
      </c>
      <c r="K231" s="1">
        <v>0.2</v>
      </c>
    </row>
    <row r="232" spans="1:11" x14ac:dyDescent="0.45">
      <c r="A232" s="1">
        <v>231</v>
      </c>
      <c r="B232" s="1" t="s">
        <v>398</v>
      </c>
      <c r="C232" s="2">
        <v>42260</v>
      </c>
      <c r="D232" s="1" t="s">
        <v>533</v>
      </c>
      <c r="E232" s="1" t="s">
        <v>2</v>
      </c>
      <c r="F232" s="1" t="s">
        <v>8</v>
      </c>
      <c r="G232" s="1" t="s">
        <v>225</v>
      </c>
      <c r="H232" s="1">
        <v>18.648000000000003</v>
      </c>
      <c r="I232" s="1">
        <v>7</v>
      </c>
      <c r="J232" s="1">
        <v>-12.431999999999999</v>
      </c>
      <c r="K232" s="1">
        <v>0.7</v>
      </c>
    </row>
    <row r="233" spans="1:11" x14ac:dyDescent="0.45">
      <c r="A233" s="1">
        <v>232</v>
      </c>
      <c r="B233" s="1" t="s">
        <v>399</v>
      </c>
      <c r="C233" s="2">
        <v>43197</v>
      </c>
      <c r="D233" s="1" t="s">
        <v>465</v>
      </c>
      <c r="E233" s="1" t="s">
        <v>2</v>
      </c>
      <c r="F233" s="1" t="s">
        <v>7</v>
      </c>
      <c r="G233" s="1" t="s">
        <v>226</v>
      </c>
      <c r="H233" s="1">
        <v>233.86</v>
      </c>
      <c r="I233" s="1">
        <v>2</v>
      </c>
      <c r="J233" s="1">
        <v>-102.04800000000003</v>
      </c>
      <c r="K233" s="1">
        <v>0.45</v>
      </c>
    </row>
    <row r="234" spans="1:11" x14ac:dyDescent="0.45">
      <c r="A234" s="1">
        <v>233</v>
      </c>
      <c r="B234" s="1" t="s">
        <v>399</v>
      </c>
      <c r="C234" s="2">
        <v>43197</v>
      </c>
      <c r="D234" s="1" t="s">
        <v>465</v>
      </c>
      <c r="E234" s="1" t="s">
        <v>2</v>
      </c>
      <c r="F234" s="1" t="s">
        <v>7</v>
      </c>
      <c r="G234" s="1" t="s">
        <v>227</v>
      </c>
      <c r="H234" s="1">
        <v>620.61450000000013</v>
      </c>
      <c r="I234" s="1">
        <v>3</v>
      </c>
      <c r="J234" s="1">
        <v>-248.24579999999992</v>
      </c>
      <c r="K234" s="1">
        <v>0.45</v>
      </c>
    </row>
    <row r="235" spans="1:11" x14ac:dyDescent="0.45">
      <c r="A235" s="1">
        <v>234</v>
      </c>
      <c r="B235" s="1" t="s">
        <v>399</v>
      </c>
      <c r="C235" s="2">
        <v>43197</v>
      </c>
      <c r="D235" s="1" t="s">
        <v>465</v>
      </c>
      <c r="E235" s="1" t="s">
        <v>2</v>
      </c>
      <c r="F235" s="1" t="s">
        <v>8</v>
      </c>
      <c r="G235" s="1" t="s">
        <v>225</v>
      </c>
      <c r="H235" s="1">
        <v>5.3280000000000012</v>
      </c>
      <c r="I235" s="1">
        <v>2</v>
      </c>
      <c r="J235" s="1">
        <v>-3.5519999999999996</v>
      </c>
      <c r="K235" s="1">
        <v>0.7</v>
      </c>
    </row>
    <row r="236" spans="1:11" x14ac:dyDescent="0.45">
      <c r="A236" s="1">
        <v>235</v>
      </c>
      <c r="B236" s="1" t="s">
        <v>399</v>
      </c>
      <c r="C236" s="2">
        <v>43197</v>
      </c>
      <c r="D236" s="1" t="s">
        <v>465</v>
      </c>
      <c r="E236" s="1" t="s">
        <v>2</v>
      </c>
      <c r="F236" s="1" t="s">
        <v>7</v>
      </c>
      <c r="G236" s="1" t="s">
        <v>228</v>
      </c>
      <c r="H236" s="1">
        <v>258.072</v>
      </c>
      <c r="I236" s="1">
        <v>3</v>
      </c>
      <c r="J236" s="1">
        <v>0</v>
      </c>
      <c r="K236" s="1">
        <v>0.2</v>
      </c>
    </row>
    <row r="237" spans="1:11" x14ac:dyDescent="0.45">
      <c r="A237" s="1">
        <v>236</v>
      </c>
      <c r="B237" s="1" t="s">
        <v>399</v>
      </c>
      <c r="C237" s="2">
        <v>43197</v>
      </c>
      <c r="D237" s="1" t="s">
        <v>465</v>
      </c>
      <c r="E237" s="1" t="s">
        <v>2</v>
      </c>
      <c r="F237" s="1" t="s">
        <v>9</v>
      </c>
      <c r="G237" s="1" t="s">
        <v>229</v>
      </c>
      <c r="H237" s="1">
        <v>617.97600000000011</v>
      </c>
      <c r="I237" s="1">
        <v>3</v>
      </c>
      <c r="J237" s="1">
        <v>-7.724700000000098</v>
      </c>
      <c r="K237" s="1">
        <v>0.2</v>
      </c>
    </row>
    <row r="238" spans="1:11" x14ac:dyDescent="0.45">
      <c r="A238" s="1">
        <v>237</v>
      </c>
      <c r="B238" s="1" t="s">
        <v>400</v>
      </c>
      <c r="C238" s="2">
        <v>43416</v>
      </c>
      <c r="D238" s="1" t="s">
        <v>534</v>
      </c>
      <c r="E238" s="1" t="s">
        <v>3</v>
      </c>
      <c r="F238" s="1" t="s">
        <v>8</v>
      </c>
      <c r="G238" s="1" t="s">
        <v>230</v>
      </c>
      <c r="H238" s="1">
        <v>10.56</v>
      </c>
      <c r="I238" s="1">
        <v>2</v>
      </c>
      <c r="J238" s="1">
        <v>4.7519999999999998</v>
      </c>
      <c r="K238" s="1">
        <v>0</v>
      </c>
    </row>
    <row r="239" spans="1:11" x14ac:dyDescent="0.45">
      <c r="A239" s="1">
        <v>238</v>
      </c>
      <c r="B239" s="1" t="s">
        <v>401</v>
      </c>
      <c r="C239" s="2">
        <v>42890</v>
      </c>
      <c r="D239" s="1" t="s">
        <v>535</v>
      </c>
      <c r="E239" s="1" t="s">
        <v>4</v>
      </c>
      <c r="F239" s="1" t="s">
        <v>8</v>
      </c>
      <c r="G239" s="1" t="s">
        <v>231</v>
      </c>
      <c r="H239" s="1">
        <v>25.920000000000005</v>
      </c>
      <c r="I239" s="1">
        <v>5</v>
      </c>
      <c r="J239" s="1">
        <v>9.3960000000000008</v>
      </c>
      <c r="K239" s="1">
        <v>0.2</v>
      </c>
    </row>
    <row r="240" spans="1:11" x14ac:dyDescent="0.45">
      <c r="A240" s="1">
        <v>239</v>
      </c>
      <c r="B240" s="1" t="s">
        <v>401</v>
      </c>
      <c r="C240" s="2">
        <v>42890</v>
      </c>
      <c r="D240" s="1" t="s">
        <v>535</v>
      </c>
      <c r="E240" s="1" t="s">
        <v>4</v>
      </c>
      <c r="F240" s="1" t="s">
        <v>7</v>
      </c>
      <c r="G240" s="1" t="s">
        <v>232</v>
      </c>
      <c r="H240" s="1">
        <v>419.68000000000006</v>
      </c>
      <c r="I240" s="1">
        <v>5</v>
      </c>
      <c r="J240" s="1">
        <v>-356.72799999999995</v>
      </c>
      <c r="K240" s="1">
        <v>0.6</v>
      </c>
    </row>
    <row r="241" spans="1:11" x14ac:dyDescent="0.45">
      <c r="A241" s="1">
        <v>240</v>
      </c>
      <c r="B241" s="1" t="s">
        <v>401</v>
      </c>
      <c r="C241" s="2">
        <v>42890</v>
      </c>
      <c r="D241" s="1" t="s">
        <v>535</v>
      </c>
      <c r="E241" s="1" t="s">
        <v>4</v>
      </c>
      <c r="F241" s="1" t="s">
        <v>7</v>
      </c>
      <c r="G241" s="1" t="s">
        <v>233</v>
      </c>
      <c r="H241" s="1">
        <v>11.688000000000001</v>
      </c>
      <c r="I241" s="1">
        <v>3</v>
      </c>
      <c r="J241" s="1">
        <v>-4.6751999999999985</v>
      </c>
      <c r="K241" s="1">
        <v>0.6</v>
      </c>
    </row>
    <row r="242" spans="1:11" x14ac:dyDescent="0.45">
      <c r="A242" s="1">
        <v>241</v>
      </c>
      <c r="B242" s="1" t="s">
        <v>401</v>
      </c>
      <c r="C242" s="2">
        <v>42890</v>
      </c>
      <c r="D242" s="1" t="s">
        <v>535</v>
      </c>
      <c r="E242" s="1" t="s">
        <v>4</v>
      </c>
      <c r="F242" s="1" t="s">
        <v>9</v>
      </c>
      <c r="G242" s="1" t="s">
        <v>234</v>
      </c>
      <c r="H242" s="1">
        <v>31.983999999999998</v>
      </c>
      <c r="I242" s="1">
        <v>2</v>
      </c>
      <c r="J242" s="1">
        <v>11.194399999999998</v>
      </c>
      <c r="K242" s="1">
        <v>0.2</v>
      </c>
    </row>
    <row r="243" spans="1:11" x14ac:dyDescent="0.45">
      <c r="A243" s="1">
        <v>242</v>
      </c>
      <c r="B243" s="1" t="s">
        <v>401</v>
      </c>
      <c r="C243" s="2">
        <v>42890</v>
      </c>
      <c r="D243" s="1" t="s">
        <v>535</v>
      </c>
      <c r="E243" s="1" t="s">
        <v>4</v>
      </c>
      <c r="F243" s="1" t="s">
        <v>7</v>
      </c>
      <c r="G243" s="1" t="s">
        <v>235</v>
      </c>
      <c r="H243" s="1">
        <v>177.22499999999999</v>
      </c>
      <c r="I243" s="1">
        <v>5</v>
      </c>
      <c r="J243" s="1">
        <v>-120.51299999999998</v>
      </c>
      <c r="K243" s="1">
        <v>0.5</v>
      </c>
    </row>
    <row r="244" spans="1:11" x14ac:dyDescent="0.45">
      <c r="A244" s="1">
        <v>243</v>
      </c>
      <c r="B244" s="1" t="s">
        <v>401</v>
      </c>
      <c r="C244" s="2">
        <v>42890</v>
      </c>
      <c r="D244" s="1" t="s">
        <v>535</v>
      </c>
      <c r="E244" s="1" t="s">
        <v>4</v>
      </c>
      <c r="F244" s="1" t="s">
        <v>7</v>
      </c>
      <c r="G244" s="1" t="s">
        <v>236</v>
      </c>
      <c r="H244" s="1">
        <v>4.0440000000000005</v>
      </c>
      <c r="I244" s="1">
        <v>3</v>
      </c>
      <c r="J244" s="1">
        <v>-2.8307999999999995</v>
      </c>
      <c r="K244" s="1">
        <v>0.6</v>
      </c>
    </row>
    <row r="245" spans="1:11" x14ac:dyDescent="0.45">
      <c r="A245" s="1">
        <v>244</v>
      </c>
      <c r="B245" s="1" t="s">
        <v>401</v>
      </c>
      <c r="C245" s="2">
        <v>42890</v>
      </c>
      <c r="D245" s="1" t="s">
        <v>535</v>
      </c>
      <c r="E245" s="1" t="s">
        <v>4</v>
      </c>
      <c r="F245" s="1" t="s">
        <v>8</v>
      </c>
      <c r="G245" s="1" t="s">
        <v>194</v>
      </c>
      <c r="H245" s="1">
        <v>7.4080000000000004</v>
      </c>
      <c r="I245" s="1">
        <v>2</v>
      </c>
      <c r="J245" s="1">
        <v>1.2037999999999995</v>
      </c>
      <c r="K245" s="1">
        <v>0.2</v>
      </c>
    </row>
    <row r="246" spans="1:11" x14ac:dyDescent="0.45">
      <c r="A246" s="1">
        <v>245</v>
      </c>
      <c r="B246" s="1" t="s">
        <v>402</v>
      </c>
      <c r="C246" s="2">
        <v>42156</v>
      </c>
      <c r="D246" s="1" t="s">
        <v>536</v>
      </c>
      <c r="E246" s="1" t="s">
        <v>4</v>
      </c>
      <c r="F246" s="1" t="s">
        <v>7</v>
      </c>
      <c r="G246" s="1" t="s">
        <v>131</v>
      </c>
      <c r="H246" s="1">
        <v>2001.8600000000001</v>
      </c>
      <c r="I246" s="1">
        <v>7</v>
      </c>
      <c r="J246" s="1">
        <v>580.53939999999989</v>
      </c>
      <c r="K246" s="1">
        <v>0</v>
      </c>
    </row>
    <row r="247" spans="1:11" x14ac:dyDescent="0.45">
      <c r="A247" s="1">
        <v>246</v>
      </c>
      <c r="B247" s="1" t="s">
        <v>402</v>
      </c>
      <c r="C247" s="2">
        <v>42156</v>
      </c>
      <c r="D247" s="1" t="s">
        <v>536</v>
      </c>
      <c r="E247" s="1" t="s">
        <v>4</v>
      </c>
      <c r="F247" s="1" t="s">
        <v>8</v>
      </c>
      <c r="G247" s="1" t="s">
        <v>237</v>
      </c>
      <c r="H247" s="1">
        <v>166.72</v>
      </c>
      <c r="I247" s="1">
        <v>2</v>
      </c>
      <c r="J247" s="1">
        <v>41.680000000000007</v>
      </c>
      <c r="K247" s="1">
        <v>0</v>
      </c>
    </row>
    <row r="248" spans="1:11" x14ac:dyDescent="0.45">
      <c r="A248" s="1">
        <v>247</v>
      </c>
      <c r="B248" s="1" t="s">
        <v>402</v>
      </c>
      <c r="C248" s="2">
        <v>42156</v>
      </c>
      <c r="D248" s="1" t="s">
        <v>536</v>
      </c>
      <c r="E248" s="1" t="s">
        <v>4</v>
      </c>
      <c r="F248" s="1" t="s">
        <v>8</v>
      </c>
      <c r="G248" s="1" t="s">
        <v>238</v>
      </c>
      <c r="H248" s="1">
        <v>47.88</v>
      </c>
      <c r="I248" s="1">
        <v>6</v>
      </c>
      <c r="J248" s="1">
        <v>23.94</v>
      </c>
      <c r="K248" s="1">
        <v>0</v>
      </c>
    </row>
    <row r="249" spans="1:11" x14ac:dyDescent="0.45">
      <c r="A249" s="1">
        <v>248</v>
      </c>
      <c r="B249" s="1" t="s">
        <v>402</v>
      </c>
      <c r="C249" s="2">
        <v>42156</v>
      </c>
      <c r="D249" s="1" t="s">
        <v>536</v>
      </c>
      <c r="E249" s="1" t="s">
        <v>4</v>
      </c>
      <c r="F249" s="1" t="s">
        <v>8</v>
      </c>
      <c r="G249" s="1" t="s">
        <v>239</v>
      </c>
      <c r="H249" s="1">
        <v>1503.25</v>
      </c>
      <c r="I249" s="1">
        <v>5</v>
      </c>
      <c r="J249" s="1">
        <v>496.07249999999993</v>
      </c>
      <c r="K249" s="1">
        <v>0</v>
      </c>
    </row>
    <row r="250" spans="1:11" x14ac:dyDescent="0.45">
      <c r="A250" s="1">
        <v>249</v>
      </c>
      <c r="B250" s="1" t="s">
        <v>402</v>
      </c>
      <c r="C250" s="2">
        <v>42156</v>
      </c>
      <c r="D250" s="1" t="s">
        <v>536</v>
      </c>
      <c r="E250" s="1" t="s">
        <v>4</v>
      </c>
      <c r="F250" s="1" t="s">
        <v>8</v>
      </c>
      <c r="G250" s="1" t="s">
        <v>192</v>
      </c>
      <c r="H250" s="1">
        <v>25.92</v>
      </c>
      <c r="I250" s="1">
        <v>4</v>
      </c>
      <c r="J250" s="1">
        <v>12.441600000000001</v>
      </c>
      <c r="K250" s="1">
        <v>0</v>
      </c>
    </row>
    <row r="251" spans="1:11" x14ac:dyDescent="0.45">
      <c r="A251" s="1">
        <v>250</v>
      </c>
      <c r="B251" s="1" t="s">
        <v>403</v>
      </c>
      <c r="C251" s="2">
        <v>43079</v>
      </c>
      <c r="D251" s="1" t="s">
        <v>537</v>
      </c>
      <c r="E251" s="1" t="s">
        <v>3</v>
      </c>
      <c r="F251" s="1" t="s">
        <v>7</v>
      </c>
      <c r="G251" s="1" t="s">
        <v>240</v>
      </c>
      <c r="H251" s="1">
        <v>321.56799999999998</v>
      </c>
      <c r="I251" s="1">
        <v>2</v>
      </c>
      <c r="J251" s="1">
        <v>28.137200000000007</v>
      </c>
      <c r="K251" s="1">
        <v>0.2</v>
      </c>
    </row>
    <row r="252" spans="1:11" x14ac:dyDescent="0.45">
      <c r="A252" s="1">
        <v>251</v>
      </c>
      <c r="B252" s="1" t="s">
        <v>404</v>
      </c>
      <c r="C252" s="2">
        <v>42989</v>
      </c>
      <c r="D252" s="1" t="s">
        <v>538</v>
      </c>
      <c r="E252" s="1" t="s">
        <v>3</v>
      </c>
      <c r="F252" s="1" t="s">
        <v>8</v>
      </c>
      <c r="G252" s="1" t="s">
        <v>241</v>
      </c>
      <c r="H252" s="1">
        <v>7.61</v>
      </c>
      <c r="I252" s="1">
        <v>1</v>
      </c>
      <c r="J252" s="1">
        <v>3.5766999999999998</v>
      </c>
      <c r="K252" s="1">
        <v>0</v>
      </c>
    </row>
    <row r="253" spans="1:11" x14ac:dyDescent="0.45">
      <c r="A253" s="1">
        <v>252</v>
      </c>
      <c r="B253" s="1" t="s">
        <v>404</v>
      </c>
      <c r="C253" s="2">
        <v>42989</v>
      </c>
      <c r="D253" s="1" t="s">
        <v>538</v>
      </c>
      <c r="E253" s="1" t="s">
        <v>3</v>
      </c>
      <c r="F253" s="1" t="s">
        <v>9</v>
      </c>
      <c r="G253" s="1" t="s">
        <v>229</v>
      </c>
      <c r="H253" s="1">
        <v>3347.37</v>
      </c>
      <c r="I253" s="1">
        <v>13</v>
      </c>
      <c r="J253" s="1">
        <v>636.0002999999997</v>
      </c>
      <c r="K253" s="1">
        <v>0</v>
      </c>
    </row>
    <row r="254" spans="1:11" x14ac:dyDescent="0.45">
      <c r="A254" s="1">
        <v>253</v>
      </c>
      <c r="B254" s="1" t="s">
        <v>405</v>
      </c>
      <c r="C254" s="2">
        <v>43079</v>
      </c>
      <c r="D254" s="1" t="s">
        <v>539</v>
      </c>
      <c r="E254" s="1" t="s">
        <v>5</v>
      </c>
      <c r="F254" s="1" t="s">
        <v>8</v>
      </c>
      <c r="G254" s="1" t="s">
        <v>242</v>
      </c>
      <c r="H254" s="1">
        <v>80.58</v>
      </c>
      <c r="I254" s="1">
        <v>6</v>
      </c>
      <c r="J254" s="1">
        <v>22.562400000000004</v>
      </c>
      <c r="K254" s="1">
        <v>0</v>
      </c>
    </row>
    <row r="255" spans="1:11" x14ac:dyDescent="0.45">
      <c r="A255" s="1">
        <v>254</v>
      </c>
      <c r="B255" s="1" t="s">
        <v>405</v>
      </c>
      <c r="C255" s="2">
        <v>43079</v>
      </c>
      <c r="D255" s="1" t="s">
        <v>539</v>
      </c>
      <c r="E255" s="1" t="s">
        <v>5</v>
      </c>
      <c r="F255" s="1" t="s">
        <v>8</v>
      </c>
      <c r="G255" s="1" t="s">
        <v>243</v>
      </c>
      <c r="H255" s="1">
        <v>361.92</v>
      </c>
      <c r="I255" s="1">
        <v>4</v>
      </c>
      <c r="J255" s="1">
        <v>162.864</v>
      </c>
      <c r="K255" s="1">
        <v>0</v>
      </c>
    </row>
    <row r="256" spans="1:11" x14ac:dyDescent="0.45">
      <c r="A256" s="1">
        <v>255</v>
      </c>
      <c r="B256" s="1" t="s">
        <v>406</v>
      </c>
      <c r="C256" s="2">
        <v>42702</v>
      </c>
      <c r="D256" s="1" t="s">
        <v>540</v>
      </c>
      <c r="E256" s="1" t="s">
        <v>4</v>
      </c>
      <c r="F256" s="1" t="s">
        <v>7</v>
      </c>
      <c r="G256" s="1" t="s">
        <v>236</v>
      </c>
      <c r="H256" s="1">
        <v>12.132000000000001</v>
      </c>
      <c r="I256" s="1">
        <v>9</v>
      </c>
      <c r="J256" s="1">
        <v>-8.4923999999999982</v>
      </c>
      <c r="K256" s="1">
        <v>0.6</v>
      </c>
    </row>
    <row r="257" spans="1:11" x14ac:dyDescent="0.45">
      <c r="A257" s="1">
        <v>256</v>
      </c>
      <c r="B257" s="1" t="s">
        <v>406</v>
      </c>
      <c r="C257" s="2">
        <v>42702</v>
      </c>
      <c r="D257" s="1" t="s">
        <v>540</v>
      </c>
      <c r="E257" s="1" t="s">
        <v>4</v>
      </c>
      <c r="F257" s="1" t="s">
        <v>8</v>
      </c>
      <c r="G257" s="1" t="s">
        <v>244</v>
      </c>
      <c r="H257" s="1">
        <v>82.367999999999995</v>
      </c>
      <c r="I257" s="1">
        <v>2</v>
      </c>
      <c r="J257" s="1">
        <v>-19.562399999999997</v>
      </c>
      <c r="K257" s="1">
        <v>0.2</v>
      </c>
    </row>
    <row r="258" spans="1:11" x14ac:dyDescent="0.45">
      <c r="A258" s="1">
        <v>257</v>
      </c>
      <c r="B258" s="1" t="s">
        <v>406</v>
      </c>
      <c r="C258" s="2">
        <v>42702</v>
      </c>
      <c r="D258" s="1" t="s">
        <v>540</v>
      </c>
      <c r="E258" s="1" t="s">
        <v>4</v>
      </c>
      <c r="F258" s="1" t="s">
        <v>8</v>
      </c>
      <c r="G258" s="1" t="s">
        <v>158</v>
      </c>
      <c r="H258" s="1">
        <v>53.92</v>
      </c>
      <c r="I258" s="1">
        <v>5</v>
      </c>
      <c r="J258" s="1">
        <v>4.0439999999999969</v>
      </c>
      <c r="K258" s="1">
        <v>0.2</v>
      </c>
    </row>
    <row r="259" spans="1:11" x14ac:dyDescent="0.45">
      <c r="A259" s="1">
        <v>258</v>
      </c>
      <c r="B259" s="1" t="s">
        <v>406</v>
      </c>
      <c r="C259" s="2">
        <v>42702</v>
      </c>
      <c r="D259" s="1" t="s">
        <v>540</v>
      </c>
      <c r="E259" s="1" t="s">
        <v>4</v>
      </c>
      <c r="F259" s="1" t="s">
        <v>9</v>
      </c>
      <c r="G259" s="1" t="s">
        <v>245</v>
      </c>
      <c r="H259" s="1">
        <v>647.904</v>
      </c>
      <c r="I259" s="1">
        <v>6</v>
      </c>
      <c r="J259" s="1">
        <v>56.691599999999966</v>
      </c>
      <c r="K259" s="1">
        <v>0.2</v>
      </c>
    </row>
    <row r="260" spans="1:11" x14ac:dyDescent="0.45">
      <c r="A260" s="1">
        <v>259</v>
      </c>
      <c r="B260" s="1" t="s">
        <v>407</v>
      </c>
      <c r="C260" s="2">
        <v>43435</v>
      </c>
      <c r="D260" s="1" t="s">
        <v>541</v>
      </c>
      <c r="E260" s="1" t="s">
        <v>5</v>
      </c>
      <c r="F260" s="1" t="s">
        <v>9</v>
      </c>
      <c r="G260" s="1" t="s">
        <v>246</v>
      </c>
      <c r="H260" s="1">
        <v>20.37</v>
      </c>
      <c r="I260" s="1">
        <v>3</v>
      </c>
      <c r="J260" s="1">
        <v>6.9258000000000006</v>
      </c>
      <c r="K260" s="1">
        <v>0</v>
      </c>
    </row>
    <row r="261" spans="1:11" x14ac:dyDescent="0.45">
      <c r="A261" s="1">
        <v>260</v>
      </c>
      <c r="B261" s="1" t="s">
        <v>407</v>
      </c>
      <c r="C261" s="2">
        <v>43435</v>
      </c>
      <c r="D261" s="1" t="s">
        <v>541</v>
      </c>
      <c r="E261" s="1" t="s">
        <v>5</v>
      </c>
      <c r="F261" s="1" t="s">
        <v>8</v>
      </c>
      <c r="G261" s="1" t="s">
        <v>247</v>
      </c>
      <c r="H261" s="1">
        <v>221.54999999999998</v>
      </c>
      <c r="I261" s="1">
        <v>3</v>
      </c>
      <c r="J261" s="1">
        <v>6.6465000000000174</v>
      </c>
      <c r="K261" s="1">
        <v>0</v>
      </c>
    </row>
    <row r="262" spans="1:11" x14ac:dyDescent="0.45">
      <c r="A262" s="1">
        <v>261</v>
      </c>
      <c r="B262" s="1" t="s">
        <v>407</v>
      </c>
      <c r="C262" s="2">
        <v>43435</v>
      </c>
      <c r="D262" s="1" t="s">
        <v>541</v>
      </c>
      <c r="E262" s="1" t="s">
        <v>5</v>
      </c>
      <c r="F262" s="1" t="s">
        <v>8</v>
      </c>
      <c r="G262" s="1" t="s">
        <v>248</v>
      </c>
      <c r="H262" s="1">
        <v>17.52</v>
      </c>
      <c r="I262" s="1">
        <v>5</v>
      </c>
      <c r="J262" s="1">
        <v>6.1319999999999988</v>
      </c>
      <c r="K262" s="1">
        <v>0.2</v>
      </c>
    </row>
    <row r="263" spans="1:11" x14ac:dyDescent="0.45">
      <c r="A263" s="1">
        <v>262</v>
      </c>
      <c r="B263" s="1" t="s">
        <v>408</v>
      </c>
      <c r="C263" s="2">
        <v>43259</v>
      </c>
      <c r="D263" s="1" t="s">
        <v>542</v>
      </c>
      <c r="E263" s="1" t="s">
        <v>4</v>
      </c>
      <c r="F263" s="1" t="s">
        <v>8</v>
      </c>
      <c r="G263" s="1" t="s">
        <v>249</v>
      </c>
      <c r="H263" s="1">
        <v>1.6239999999999994</v>
      </c>
      <c r="I263" s="1">
        <v>2</v>
      </c>
      <c r="J263" s="1">
        <v>-4.4660000000000002</v>
      </c>
      <c r="K263" s="1">
        <v>0.8</v>
      </c>
    </row>
    <row r="264" spans="1:11" x14ac:dyDescent="0.45">
      <c r="A264" s="1">
        <v>263</v>
      </c>
      <c r="B264" s="1" t="s">
        <v>409</v>
      </c>
      <c r="C264" s="2">
        <v>42266</v>
      </c>
      <c r="D264" s="1" t="s">
        <v>543</v>
      </c>
      <c r="E264" s="1" t="s">
        <v>4</v>
      </c>
      <c r="F264" s="1" t="s">
        <v>9</v>
      </c>
      <c r="G264" s="1" t="s">
        <v>167</v>
      </c>
      <c r="H264" s="1">
        <v>3059.982</v>
      </c>
      <c r="I264" s="1">
        <v>3</v>
      </c>
      <c r="J264" s="1">
        <v>-509.99700000000075</v>
      </c>
      <c r="K264" s="1">
        <v>0.4</v>
      </c>
    </row>
    <row r="265" spans="1:11" x14ac:dyDescent="0.45">
      <c r="A265" s="1">
        <v>264</v>
      </c>
      <c r="B265" s="1" t="s">
        <v>409</v>
      </c>
      <c r="C265" s="2">
        <v>42266</v>
      </c>
      <c r="D265" s="1" t="s">
        <v>543</v>
      </c>
      <c r="E265" s="1" t="s">
        <v>4</v>
      </c>
      <c r="F265" s="1" t="s">
        <v>9</v>
      </c>
      <c r="G265" s="1" t="s">
        <v>250</v>
      </c>
      <c r="H265" s="1">
        <v>2519.9579999999996</v>
      </c>
      <c r="I265" s="1">
        <v>7</v>
      </c>
      <c r="J265" s="1">
        <v>-251.99579999999992</v>
      </c>
      <c r="K265" s="1">
        <v>0.4</v>
      </c>
    </row>
    <row r="266" spans="1:11" x14ac:dyDescent="0.45">
      <c r="A266" s="1">
        <v>265</v>
      </c>
      <c r="B266" s="1" t="s">
        <v>410</v>
      </c>
      <c r="C266" s="2">
        <v>42892</v>
      </c>
      <c r="D266" s="1" t="s">
        <v>544</v>
      </c>
      <c r="E266" s="1" t="s">
        <v>4</v>
      </c>
      <c r="F266" s="1" t="s">
        <v>9</v>
      </c>
      <c r="G266" s="1" t="s">
        <v>251</v>
      </c>
      <c r="H266" s="1">
        <v>328.22399999999999</v>
      </c>
      <c r="I266" s="1">
        <v>4</v>
      </c>
      <c r="J266" s="1">
        <v>28.7196</v>
      </c>
      <c r="K266" s="1">
        <v>0.2</v>
      </c>
    </row>
    <row r="267" spans="1:11" x14ac:dyDescent="0.45">
      <c r="A267" s="1">
        <v>266</v>
      </c>
      <c r="B267" s="1" t="s">
        <v>411</v>
      </c>
      <c r="C267" s="2">
        <v>42684</v>
      </c>
      <c r="D267" s="1" t="s">
        <v>545</v>
      </c>
      <c r="E267" s="1" t="s">
        <v>3</v>
      </c>
      <c r="F267" s="1" t="s">
        <v>9</v>
      </c>
      <c r="G267" s="1" t="s">
        <v>252</v>
      </c>
      <c r="H267" s="1">
        <v>79.900000000000006</v>
      </c>
      <c r="I267" s="1">
        <v>2</v>
      </c>
      <c r="J267" s="1">
        <v>35.156000000000006</v>
      </c>
      <c r="K267" s="1">
        <v>0</v>
      </c>
    </row>
    <row r="268" spans="1:11" x14ac:dyDescent="0.45">
      <c r="A268" s="1">
        <v>267</v>
      </c>
      <c r="B268" s="1" t="s">
        <v>412</v>
      </c>
      <c r="C268" s="2">
        <v>43267</v>
      </c>
      <c r="D268" s="1" t="s">
        <v>546</v>
      </c>
      <c r="E268" s="1" t="s">
        <v>2</v>
      </c>
      <c r="F268" s="1" t="s">
        <v>8</v>
      </c>
      <c r="G268" s="1" t="s">
        <v>253</v>
      </c>
      <c r="H268" s="1">
        <v>14.015999999999998</v>
      </c>
      <c r="I268" s="1">
        <v>3</v>
      </c>
      <c r="J268" s="1">
        <v>4.7303999999999995</v>
      </c>
      <c r="K268" s="1">
        <v>0.2</v>
      </c>
    </row>
    <row r="269" spans="1:11" x14ac:dyDescent="0.45">
      <c r="A269" s="1">
        <v>268</v>
      </c>
      <c r="B269" s="1" t="s">
        <v>413</v>
      </c>
      <c r="C269" s="2">
        <v>42757</v>
      </c>
      <c r="D269" s="1" t="s">
        <v>466</v>
      </c>
      <c r="E269" s="1" t="s">
        <v>5</v>
      </c>
      <c r="F269" s="1" t="s">
        <v>8</v>
      </c>
      <c r="G269" s="1" t="s">
        <v>254</v>
      </c>
      <c r="H269" s="1">
        <v>7.5600000000000005</v>
      </c>
      <c r="I269" s="1">
        <v>6</v>
      </c>
      <c r="J269" s="1">
        <v>0.3024</v>
      </c>
      <c r="K269" s="1">
        <v>0</v>
      </c>
    </row>
    <row r="270" spans="1:11" x14ac:dyDescent="0.45">
      <c r="A270" s="1">
        <v>269</v>
      </c>
      <c r="B270" s="1" t="s">
        <v>414</v>
      </c>
      <c r="C270" s="2">
        <v>43443</v>
      </c>
      <c r="D270" s="1" t="s">
        <v>547</v>
      </c>
      <c r="E270" s="1" t="s">
        <v>5</v>
      </c>
      <c r="F270" s="1" t="s">
        <v>8</v>
      </c>
      <c r="G270" s="1" t="s">
        <v>255</v>
      </c>
      <c r="H270" s="1">
        <v>37.207999999999998</v>
      </c>
      <c r="I270" s="1">
        <v>1</v>
      </c>
      <c r="J270" s="1">
        <v>-7.4416000000000011</v>
      </c>
      <c r="K270" s="1">
        <v>0.2</v>
      </c>
    </row>
    <row r="271" spans="1:11" x14ac:dyDescent="0.45">
      <c r="A271" s="1">
        <v>270</v>
      </c>
      <c r="B271" s="1" t="s">
        <v>414</v>
      </c>
      <c r="C271" s="2">
        <v>43443</v>
      </c>
      <c r="D271" s="1" t="s">
        <v>547</v>
      </c>
      <c r="E271" s="1" t="s">
        <v>5</v>
      </c>
      <c r="F271" s="1" t="s">
        <v>8</v>
      </c>
      <c r="G271" s="1" t="s">
        <v>256</v>
      </c>
      <c r="H271" s="1">
        <v>57.576000000000001</v>
      </c>
      <c r="I271" s="1">
        <v>3</v>
      </c>
      <c r="J271" s="1">
        <v>21.591000000000001</v>
      </c>
      <c r="K271" s="1">
        <v>0.2</v>
      </c>
    </row>
    <row r="272" spans="1:11" x14ac:dyDescent="0.45">
      <c r="A272" s="1">
        <v>271</v>
      </c>
      <c r="B272" s="1" t="s">
        <v>415</v>
      </c>
      <c r="C272" s="2">
        <v>43462</v>
      </c>
      <c r="D272" s="1" t="s">
        <v>548</v>
      </c>
      <c r="E272" s="1" t="s">
        <v>3</v>
      </c>
      <c r="F272" s="1" t="s">
        <v>8</v>
      </c>
      <c r="G272" s="1" t="s">
        <v>257</v>
      </c>
      <c r="H272" s="1">
        <v>725.84</v>
      </c>
      <c r="I272" s="1">
        <v>4</v>
      </c>
      <c r="J272" s="1">
        <v>210.4935999999999</v>
      </c>
      <c r="K272" s="1">
        <v>0</v>
      </c>
    </row>
    <row r="273" spans="1:11" x14ac:dyDescent="0.45">
      <c r="A273" s="1">
        <v>272</v>
      </c>
      <c r="B273" s="1" t="s">
        <v>416</v>
      </c>
      <c r="C273" s="2">
        <v>42581</v>
      </c>
      <c r="D273" s="1" t="s">
        <v>494</v>
      </c>
      <c r="E273" s="1" t="s">
        <v>3</v>
      </c>
      <c r="F273" s="1" t="s">
        <v>9</v>
      </c>
      <c r="G273" s="1" t="s">
        <v>258</v>
      </c>
      <c r="H273" s="1">
        <v>209.92999999999998</v>
      </c>
      <c r="I273" s="1">
        <v>7</v>
      </c>
      <c r="J273" s="1">
        <v>92.369200000000021</v>
      </c>
      <c r="K273" s="1">
        <v>0</v>
      </c>
    </row>
    <row r="274" spans="1:11" x14ac:dyDescent="0.45">
      <c r="A274" s="1">
        <v>273</v>
      </c>
      <c r="B274" s="1" t="s">
        <v>416</v>
      </c>
      <c r="C274" s="2">
        <v>42581</v>
      </c>
      <c r="D274" s="1" t="s">
        <v>494</v>
      </c>
      <c r="E274" s="1" t="s">
        <v>3</v>
      </c>
      <c r="F274" s="1" t="s">
        <v>7</v>
      </c>
      <c r="G274" s="1" t="s">
        <v>259</v>
      </c>
      <c r="H274" s="1">
        <v>5.28</v>
      </c>
      <c r="I274" s="1">
        <v>3</v>
      </c>
      <c r="J274" s="1">
        <v>2.3232000000000004</v>
      </c>
      <c r="K274" s="1">
        <v>0</v>
      </c>
    </row>
    <row r="275" spans="1:11" x14ac:dyDescent="0.45">
      <c r="A275" s="1">
        <v>274</v>
      </c>
      <c r="B275" s="1" t="s">
        <v>416</v>
      </c>
      <c r="C275" s="2">
        <v>42581</v>
      </c>
      <c r="D275" s="1" t="s">
        <v>494</v>
      </c>
      <c r="E275" s="1" t="s">
        <v>3</v>
      </c>
      <c r="F275" s="1" t="s">
        <v>8</v>
      </c>
      <c r="G275" s="1" t="s">
        <v>260</v>
      </c>
      <c r="H275" s="1">
        <v>10.92</v>
      </c>
      <c r="I275" s="1">
        <v>3</v>
      </c>
      <c r="J275" s="1">
        <v>4.0949999999999989</v>
      </c>
      <c r="K275" s="1">
        <v>0.2</v>
      </c>
    </row>
    <row r="276" spans="1:11" x14ac:dyDescent="0.45">
      <c r="A276" s="1">
        <v>275</v>
      </c>
      <c r="B276" s="1" t="s">
        <v>417</v>
      </c>
      <c r="C276" s="2">
        <v>43359</v>
      </c>
      <c r="D276" s="1" t="s">
        <v>549</v>
      </c>
      <c r="E276" s="1" t="s">
        <v>3</v>
      </c>
      <c r="F276" s="1" t="s">
        <v>8</v>
      </c>
      <c r="G276" s="1" t="s">
        <v>261</v>
      </c>
      <c r="H276" s="1">
        <v>8.82</v>
      </c>
      <c r="I276" s="1">
        <v>2</v>
      </c>
      <c r="J276" s="1">
        <v>4.0571999999999999</v>
      </c>
      <c r="K276" s="1">
        <v>0</v>
      </c>
    </row>
    <row r="277" spans="1:11" x14ac:dyDescent="0.45">
      <c r="A277" s="1">
        <v>276</v>
      </c>
      <c r="B277" s="1" t="s">
        <v>417</v>
      </c>
      <c r="C277" s="2">
        <v>43359</v>
      </c>
      <c r="D277" s="1" t="s">
        <v>549</v>
      </c>
      <c r="E277" s="1" t="s">
        <v>3</v>
      </c>
      <c r="F277" s="1" t="s">
        <v>8</v>
      </c>
      <c r="G277" s="1" t="s">
        <v>262</v>
      </c>
      <c r="H277" s="1">
        <v>5.98</v>
      </c>
      <c r="I277" s="1">
        <v>1</v>
      </c>
      <c r="J277" s="1">
        <v>1.5548000000000002</v>
      </c>
      <c r="K277" s="1">
        <v>0</v>
      </c>
    </row>
    <row r="278" spans="1:11" x14ac:dyDescent="0.45">
      <c r="A278" s="1">
        <v>277</v>
      </c>
      <c r="B278" s="1" t="s">
        <v>418</v>
      </c>
      <c r="C278" s="2">
        <v>43386</v>
      </c>
      <c r="D278" s="1" t="s">
        <v>550</v>
      </c>
      <c r="E278" s="1" t="s">
        <v>5</v>
      </c>
      <c r="F278" s="1" t="s">
        <v>8</v>
      </c>
      <c r="G278" s="1" t="s">
        <v>263</v>
      </c>
      <c r="H278" s="1">
        <v>11.648000000000001</v>
      </c>
      <c r="I278" s="1">
        <v>2</v>
      </c>
      <c r="J278" s="1">
        <v>4.0768000000000004</v>
      </c>
      <c r="K278" s="1">
        <v>0.2</v>
      </c>
    </row>
    <row r="279" spans="1:11" x14ac:dyDescent="0.45">
      <c r="A279" s="1">
        <v>278</v>
      </c>
      <c r="B279" s="1" t="s">
        <v>418</v>
      </c>
      <c r="C279" s="2">
        <v>43386</v>
      </c>
      <c r="D279" s="1" t="s">
        <v>550</v>
      </c>
      <c r="E279" s="1" t="s">
        <v>5</v>
      </c>
      <c r="F279" s="1" t="s">
        <v>8</v>
      </c>
      <c r="G279" s="1" t="s">
        <v>264</v>
      </c>
      <c r="H279" s="1">
        <v>18.175999999999998</v>
      </c>
      <c r="I279" s="1">
        <v>4</v>
      </c>
      <c r="J279" s="1">
        <v>5.9071999999999987</v>
      </c>
      <c r="K279" s="1">
        <v>0.2</v>
      </c>
    </row>
    <row r="280" spans="1:11" x14ac:dyDescent="0.45">
      <c r="A280" s="1">
        <v>279</v>
      </c>
      <c r="B280" s="1" t="s">
        <v>418</v>
      </c>
      <c r="C280" s="2">
        <v>43386</v>
      </c>
      <c r="D280" s="1" t="s">
        <v>550</v>
      </c>
      <c r="E280" s="1" t="s">
        <v>5</v>
      </c>
      <c r="F280" s="1" t="s">
        <v>8</v>
      </c>
      <c r="G280" s="1" t="s">
        <v>265</v>
      </c>
      <c r="H280" s="1">
        <v>59.712000000000003</v>
      </c>
      <c r="I280" s="1">
        <v>6</v>
      </c>
      <c r="J280" s="1">
        <v>5.9711999999999996</v>
      </c>
      <c r="K280" s="1">
        <v>0.2</v>
      </c>
    </row>
    <row r="281" spans="1:11" x14ac:dyDescent="0.45">
      <c r="A281" s="1">
        <v>280</v>
      </c>
      <c r="B281" s="1" t="s">
        <v>418</v>
      </c>
      <c r="C281" s="2">
        <v>43386</v>
      </c>
      <c r="D281" s="1" t="s">
        <v>550</v>
      </c>
      <c r="E281" s="1" t="s">
        <v>5</v>
      </c>
      <c r="F281" s="1" t="s">
        <v>8</v>
      </c>
      <c r="G281" s="1" t="s">
        <v>266</v>
      </c>
      <c r="H281" s="1">
        <v>24.839999999999996</v>
      </c>
      <c r="I281" s="1">
        <v>3</v>
      </c>
      <c r="J281" s="1">
        <v>8.6940000000000008</v>
      </c>
      <c r="K281" s="1">
        <v>0.2</v>
      </c>
    </row>
    <row r="282" spans="1:11" x14ac:dyDescent="0.45">
      <c r="A282" s="1">
        <v>281</v>
      </c>
      <c r="B282" s="1" t="s">
        <v>419</v>
      </c>
      <c r="C282" s="2">
        <v>42639</v>
      </c>
      <c r="D282" s="1" t="s">
        <v>484</v>
      </c>
      <c r="E282" s="1" t="s">
        <v>4</v>
      </c>
      <c r="F282" s="1" t="s">
        <v>8</v>
      </c>
      <c r="G282" s="1" t="s">
        <v>267</v>
      </c>
      <c r="H282" s="1">
        <v>2.0799999999999996</v>
      </c>
      <c r="I282" s="1">
        <v>5</v>
      </c>
      <c r="J282" s="1">
        <v>-3.4320000000000004</v>
      </c>
      <c r="K282" s="1">
        <v>0.8</v>
      </c>
    </row>
    <row r="283" spans="1:11" x14ac:dyDescent="0.45">
      <c r="A283" s="1">
        <v>282</v>
      </c>
      <c r="B283" s="1" t="s">
        <v>419</v>
      </c>
      <c r="C283" s="2">
        <v>42639</v>
      </c>
      <c r="D283" s="1" t="s">
        <v>484</v>
      </c>
      <c r="E283" s="1" t="s">
        <v>4</v>
      </c>
      <c r="F283" s="1" t="s">
        <v>9</v>
      </c>
      <c r="G283" s="1" t="s">
        <v>268</v>
      </c>
      <c r="H283" s="1">
        <v>1114.4000000000001</v>
      </c>
      <c r="I283" s="1">
        <v>7</v>
      </c>
      <c r="J283" s="1">
        <v>376.11</v>
      </c>
      <c r="K283" s="1">
        <v>0.2</v>
      </c>
    </row>
    <row r="284" spans="1:11" x14ac:dyDescent="0.45">
      <c r="A284" s="1">
        <v>283</v>
      </c>
      <c r="B284" s="1" t="s">
        <v>420</v>
      </c>
      <c r="C284" s="2">
        <v>42676</v>
      </c>
      <c r="D284" s="1" t="s">
        <v>551</v>
      </c>
      <c r="E284" s="1" t="s">
        <v>3</v>
      </c>
      <c r="F284" s="1" t="s">
        <v>7</v>
      </c>
      <c r="G284" s="1" t="s">
        <v>269</v>
      </c>
      <c r="H284" s="1">
        <v>1038.8399999999999</v>
      </c>
      <c r="I284" s="1">
        <v>5</v>
      </c>
      <c r="J284" s="1">
        <v>51.942000000000007</v>
      </c>
      <c r="K284" s="1">
        <v>0.2</v>
      </c>
    </row>
    <row r="285" spans="1:11" x14ac:dyDescent="0.45">
      <c r="A285" s="1">
        <v>284</v>
      </c>
      <c r="B285" s="1" t="s">
        <v>421</v>
      </c>
      <c r="C285" s="2">
        <v>42639</v>
      </c>
      <c r="D285" s="1" t="s">
        <v>442</v>
      </c>
      <c r="E285" s="1" t="s">
        <v>3</v>
      </c>
      <c r="F285" s="1" t="s">
        <v>8</v>
      </c>
      <c r="G285" s="1" t="s">
        <v>44</v>
      </c>
      <c r="H285" s="1">
        <v>141.76</v>
      </c>
      <c r="I285" s="1">
        <v>5</v>
      </c>
      <c r="J285" s="1">
        <v>47.843999999999994</v>
      </c>
      <c r="K285" s="1">
        <v>0.2</v>
      </c>
    </row>
    <row r="286" spans="1:11" x14ac:dyDescent="0.45">
      <c r="A286" s="1">
        <v>285</v>
      </c>
      <c r="B286" s="1" t="s">
        <v>421</v>
      </c>
      <c r="C286" s="2">
        <v>42639</v>
      </c>
      <c r="D286" s="1" t="s">
        <v>442</v>
      </c>
      <c r="E286" s="1" t="s">
        <v>3</v>
      </c>
      <c r="F286" s="1" t="s">
        <v>9</v>
      </c>
      <c r="G286" s="1" t="s">
        <v>270</v>
      </c>
      <c r="H286" s="1">
        <v>239.80000000000004</v>
      </c>
      <c r="I286" s="1">
        <v>5</v>
      </c>
      <c r="J286" s="1">
        <v>47.959999999999987</v>
      </c>
      <c r="K286" s="1">
        <v>0.2</v>
      </c>
    </row>
    <row r="287" spans="1:11" x14ac:dyDescent="0.45">
      <c r="A287" s="1">
        <v>286</v>
      </c>
      <c r="B287" s="1" t="s">
        <v>421</v>
      </c>
      <c r="C287" s="2">
        <v>42639</v>
      </c>
      <c r="D287" s="1" t="s">
        <v>442</v>
      </c>
      <c r="E287" s="1" t="s">
        <v>3</v>
      </c>
      <c r="F287" s="1" t="s">
        <v>8</v>
      </c>
      <c r="G287" s="1" t="s">
        <v>271</v>
      </c>
      <c r="H287" s="1">
        <v>31.104000000000006</v>
      </c>
      <c r="I287" s="1">
        <v>6</v>
      </c>
      <c r="J287" s="1">
        <v>10.8864</v>
      </c>
      <c r="K287" s="1">
        <v>0.2</v>
      </c>
    </row>
    <row r="288" spans="1:11" x14ac:dyDescent="0.45">
      <c r="A288" s="1">
        <v>287</v>
      </c>
      <c r="B288" s="1" t="s">
        <v>422</v>
      </c>
      <c r="C288" s="2">
        <v>43087</v>
      </c>
      <c r="D288" s="1" t="s">
        <v>552</v>
      </c>
      <c r="E288" s="1" t="s">
        <v>2</v>
      </c>
      <c r="F288" s="1" t="s">
        <v>8</v>
      </c>
      <c r="G288" s="1" t="s">
        <v>272</v>
      </c>
      <c r="H288" s="1">
        <v>254.05800000000002</v>
      </c>
      <c r="I288" s="1">
        <v>7</v>
      </c>
      <c r="J288" s="1">
        <v>-169.3719999999999</v>
      </c>
      <c r="K288" s="1">
        <v>0.7</v>
      </c>
    </row>
    <row r="289" spans="1:11" x14ac:dyDescent="0.45">
      <c r="A289" s="1">
        <v>288</v>
      </c>
      <c r="B289" s="1" t="s">
        <v>422</v>
      </c>
      <c r="C289" s="2">
        <v>43087</v>
      </c>
      <c r="D289" s="1" t="s">
        <v>552</v>
      </c>
      <c r="E289" s="1" t="s">
        <v>2</v>
      </c>
      <c r="F289" s="1" t="s">
        <v>8</v>
      </c>
      <c r="G289" s="1" t="s">
        <v>178</v>
      </c>
      <c r="H289" s="1">
        <v>194.52800000000002</v>
      </c>
      <c r="I289" s="1">
        <v>2</v>
      </c>
      <c r="J289" s="1">
        <v>24.315999999999974</v>
      </c>
      <c r="K289" s="1">
        <v>0.2</v>
      </c>
    </row>
    <row r="290" spans="1:11" x14ac:dyDescent="0.45">
      <c r="A290" s="1">
        <v>289</v>
      </c>
      <c r="B290" s="1" t="s">
        <v>422</v>
      </c>
      <c r="C290" s="2">
        <v>43087</v>
      </c>
      <c r="D290" s="1" t="s">
        <v>552</v>
      </c>
      <c r="E290" s="1" t="s">
        <v>2</v>
      </c>
      <c r="F290" s="1" t="s">
        <v>8</v>
      </c>
      <c r="G290" s="1" t="s">
        <v>273</v>
      </c>
      <c r="H290" s="1">
        <v>961.48000000000013</v>
      </c>
      <c r="I290" s="1">
        <v>5</v>
      </c>
      <c r="J290" s="1">
        <v>-204.31449999999995</v>
      </c>
      <c r="K290" s="1">
        <v>0.2</v>
      </c>
    </row>
    <row r="291" spans="1:11" x14ac:dyDescent="0.45">
      <c r="A291" s="1">
        <v>290</v>
      </c>
      <c r="B291" s="1" t="s">
        <v>423</v>
      </c>
      <c r="C291" s="2">
        <v>43059</v>
      </c>
      <c r="D291" s="1" t="s">
        <v>553</v>
      </c>
      <c r="E291" s="1" t="s">
        <v>5</v>
      </c>
      <c r="F291" s="1" t="s">
        <v>8</v>
      </c>
      <c r="G291" s="1" t="s">
        <v>274</v>
      </c>
      <c r="H291" s="1">
        <v>19.096</v>
      </c>
      <c r="I291" s="1">
        <v>7</v>
      </c>
      <c r="J291" s="1">
        <v>6.6835999999999993</v>
      </c>
      <c r="K291" s="1">
        <v>0.2</v>
      </c>
    </row>
    <row r="292" spans="1:11" x14ac:dyDescent="0.45">
      <c r="A292" s="1">
        <v>291</v>
      </c>
      <c r="B292" s="1" t="s">
        <v>423</v>
      </c>
      <c r="C292" s="2">
        <v>43059</v>
      </c>
      <c r="D292" s="1" t="s">
        <v>553</v>
      </c>
      <c r="E292" s="1" t="s">
        <v>5</v>
      </c>
      <c r="F292" s="1" t="s">
        <v>8</v>
      </c>
      <c r="G292" s="1" t="s">
        <v>275</v>
      </c>
      <c r="H292" s="1">
        <v>18.496000000000002</v>
      </c>
      <c r="I292" s="1">
        <v>8</v>
      </c>
      <c r="J292" s="1">
        <v>6.2423999999999999</v>
      </c>
      <c r="K292" s="1">
        <v>0.2</v>
      </c>
    </row>
    <row r="293" spans="1:11" x14ac:dyDescent="0.45">
      <c r="A293" s="1">
        <v>292</v>
      </c>
      <c r="B293" s="1" t="s">
        <v>423</v>
      </c>
      <c r="C293" s="2">
        <v>43059</v>
      </c>
      <c r="D293" s="1" t="s">
        <v>553</v>
      </c>
      <c r="E293" s="1" t="s">
        <v>5</v>
      </c>
      <c r="F293" s="1" t="s">
        <v>9</v>
      </c>
      <c r="G293" s="1" t="s">
        <v>276</v>
      </c>
      <c r="H293" s="1">
        <v>255.98400000000004</v>
      </c>
      <c r="I293" s="1">
        <v>2</v>
      </c>
      <c r="J293" s="1">
        <v>54.396600000000007</v>
      </c>
      <c r="K293" s="1">
        <v>0.2</v>
      </c>
    </row>
    <row r="294" spans="1:11" x14ac:dyDescent="0.45">
      <c r="A294" s="1">
        <v>293</v>
      </c>
      <c r="B294" s="1" t="s">
        <v>423</v>
      </c>
      <c r="C294" s="2">
        <v>43059</v>
      </c>
      <c r="D294" s="1" t="s">
        <v>553</v>
      </c>
      <c r="E294" s="1" t="s">
        <v>5</v>
      </c>
      <c r="F294" s="1" t="s">
        <v>7</v>
      </c>
      <c r="G294" s="1" t="s">
        <v>277</v>
      </c>
      <c r="H294" s="1">
        <v>86.97</v>
      </c>
      <c r="I294" s="1">
        <v>3</v>
      </c>
      <c r="J294" s="1">
        <v>-48.703199999999995</v>
      </c>
      <c r="K294" s="1">
        <v>0.5</v>
      </c>
    </row>
    <row r="295" spans="1:11" x14ac:dyDescent="0.45">
      <c r="A295" s="1">
        <v>294</v>
      </c>
      <c r="B295" s="1" t="s">
        <v>424</v>
      </c>
      <c r="C295" s="2">
        <v>42364</v>
      </c>
      <c r="D295" s="1" t="s">
        <v>554</v>
      </c>
      <c r="E295" s="1" t="s">
        <v>3</v>
      </c>
      <c r="F295" s="1" t="s">
        <v>7</v>
      </c>
      <c r="G295" s="1" t="s">
        <v>278</v>
      </c>
      <c r="H295" s="1">
        <v>300.416</v>
      </c>
      <c r="I295" s="1">
        <v>8</v>
      </c>
      <c r="J295" s="1">
        <v>78.859200000000001</v>
      </c>
      <c r="K295" s="1">
        <v>0.2</v>
      </c>
    </row>
    <row r="296" spans="1:11" x14ac:dyDescent="0.45">
      <c r="A296" s="1">
        <v>295</v>
      </c>
      <c r="B296" s="1" t="s">
        <v>424</v>
      </c>
      <c r="C296" s="2">
        <v>42364</v>
      </c>
      <c r="D296" s="1" t="s">
        <v>554</v>
      </c>
      <c r="E296" s="1" t="s">
        <v>3</v>
      </c>
      <c r="F296" s="1" t="s">
        <v>7</v>
      </c>
      <c r="G296" s="1" t="s">
        <v>279</v>
      </c>
      <c r="H296" s="1">
        <v>230.35200000000003</v>
      </c>
      <c r="I296" s="1">
        <v>3</v>
      </c>
      <c r="J296" s="1">
        <v>20.155800000000013</v>
      </c>
      <c r="K296" s="1">
        <v>0.2</v>
      </c>
    </row>
    <row r="297" spans="1:11" x14ac:dyDescent="0.45">
      <c r="A297" s="1">
        <v>296</v>
      </c>
      <c r="B297" s="1" t="s">
        <v>424</v>
      </c>
      <c r="C297" s="2">
        <v>42364</v>
      </c>
      <c r="D297" s="1" t="s">
        <v>554</v>
      </c>
      <c r="E297" s="1" t="s">
        <v>3</v>
      </c>
      <c r="F297" s="1" t="s">
        <v>7</v>
      </c>
      <c r="G297" s="1" t="s">
        <v>280</v>
      </c>
      <c r="H297" s="1">
        <v>218.35200000000003</v>
      </c>
      <c r="I297" s="1">
        <v>3</v>
      </c>
      <c r="J297" s="1">
        <v>-24.564599999999999</v>
      </c>
      <c r="K297" s="1">
        <v>0.2</v>
      </c>
    </row>
    <row r="298" spans="1:11" x14ac:dyDescent="0.45">
      <c r="A298" s="1">
        <v>297</v>
      </c>
      <c r="B298" s="1" t="s">
        <v>424</v>
      </c>
      <c r="C298" s="2">
        <v>42364</v>
      </c>
      <c r="D298" s="1" t="s">
        <v>554</v>
      </c>
      <c r="E298" s="1" t="s">
        <v>3</v>
      </c>
      <c r="F298" s="1" t="s">
        <v>8</v>
      </c>
      <c r="G298" s="1" t="s">
        <v>281</v>
      </c>
      <c r="H298" s="1">
        <v>78.600000000000009</v>
      </c>
      <c r="I298" s="1">
        <v>5</v>
      </c>
      <c r="J298" s="1">
        <v>-62.88000000000001</v>
      </c>
      <c r="K298" s="1">
        <v>0.7</v>
      </c>
    </row>
    <row r="299" spans="1:11" x14ac:dyDescent="0.45">
      <c r="A299" s="1">
        <v>298</v>
      </c>
      <c r="B299" s="1" t="s">
        <v>424</v>
      </c>
      <c r="C299" s="2">
        <v>42364</v>
      </c>
      <c r="D299" s="1" t="s">
        <v>554</v>
      </c>
      <c r="E299" s="1" t="s">
        <v>3</v>
      </c>
      <c r="F299" s="1" t="s">
        <v>8</v>
      </c>
      <c r="G299" s="1" t="s">
        <v>282</v>
      </c>
      <c r="H299" s="1">
        <v>27.552000000000003</v>
      </c>
      <c r="I299" s="1">
        <v>3</v>
      </c>
      <c r="J299" s="1">
        <v>9.2987999999999964</v>
      </c>
      <c r="K299" s="1">
        <v>0.2</v>
      </c>
    </row>
    <row r="300" spans="1:11" x14ac:dyDescent="0.45">
      <c r="A300" s="1">
        <v>299</v>
      </c>
      <c r="B300" s="1" t="s">
        <v>425</v>
      </c>
      <c r="C300" s="2">
        <v>43036</v>
      </c>
      <c r="D300" s="1" t="s">
        <v>491</v>
      </c>
      <c r="E300" s="1" t="s">
        <v>5</v>
      </c>
      <c r="F300" s="1" t="s">
        <v>8</v>
      </c>
      <c r="G300" s="1" t="s">
        <v>283</v>
      </c>
      <c r="H300" s="1">
        <v>32.400000000000006</v>
      </c>
      <c r="I300" s="1">
        <v>5</v>
      </c>
      <c r="J300" s="1">
        <v>15.552000000000001</v>
      </c>
      <c r="K300" s="1">
        <v>0</v>
      </c>
    </row>
    <row r="301" spans="1:11" x14ac:dyDescent="0.45">
      <c r="A301" s="1">
        <v>300</v>
      </c>
      <c r="B301" s="1" t="s">
        <v>425</v>
      </c>
      <c r="C301" s="2">
        <v>43036</v>
      </c>
      <c r="D301" s="1" t="s">
        <v>491</v>
      </c>
      <c r="E301" s="1" t="s">
        <v>5</v>
      </c>
      <c r="F301" s="1" t="s">
        <v>8</v>
      </c>
      <c r="G301" s="1" t="s">
        <v>284</v>
      </c>
      <c r="H301" s="1">
        <v>1082.48</v>
      </c>
      <c r="I301" s="1">
        <v>8</v>
      </c>
      <c r="J301" s="1">
        <v>10.824800000000096</v>
      </c>
      <c r="K30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CF82-C06E-4967-8C61-5A0C385B1C7F}">
  <dimension ref="A1:B6"/>
  <sheetViews>
    <sheetView workbookViewId="0">
      <selection activeCell="B5" sqref="B5"/>
    </sheetView>
  </sheetViews>
  <sheetFormatPr defaultRowHeight="14.25" x14ac:dyDescent="0.45"/>
  <cols>
    <col min="1" max="1" width="17.1328125" bestFit="1" customWidth="1"/>
  </cols>
  <sheetData>
    <row r="1" spans="1:2" x14ac:dyDescent="0.45">
      <c r="A1" s="4" t="s">
        <v>556</v>
      </c>
      <c r="B1">
        <f>SUM(Sheet1!H:H)</f>
        <v>77903.809200000003</v>
      </c>
    </row>
    <row r="2" spans="1:2" ht="28.5" x14ac:dyDescent="0.45">
      <c r="A2" s="3" t="s">
        <v>557</v>
      </c>
      <c r="B2">
        <f>SUM(Sheet1!J:J)</f>
        <v>-499.03470000000414</v>
      </c>
    </row>
    <row r="3" spans="1:2" ht="28.5" x14ac:dyDescent="0.45">
      <c r="A3" s="3" t="s">
        <v>558</v>
      </c>
      <c r="B3">
        <f>COUNTA(Sheet1!B:B)-1</f>
        <v>300</v>
      </c>
    </row>
    <row r="4" spans="1:2" x14ac:dyDescent="0.45">
      <c r="A4" t="s">
        <v>559</v>
      </c>
      <c r="B4">
        <f>AVERAGE(Sheet1!H:H)</f>
        <v>259.67936400000002</v>
      </c>
    </row>
    <row r="5" spans="1:2" x14ac:dyDescent="0.45">
      <c r="A5" t="s">
        <v>560</v>
      </c>
      <c r="B5">
        <f>SUM(Sheet1!I:I)</f>
        <v>1213</v>
      </c>
    </row>
    <row r="6" spans="1:2" x14ac:dyDescent="0.45"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Sheet7</vt:lpstr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swalihathas@outlook.com</dc:creator>
  <cp:lastModifiedBy>swalihathas@outlook.com</cp:lastModifiedBy>
  <dcterms:created xsi:type="dcterms:W3CDTF">2026-06-20T19:40:52Z</dcterms:created>
  <dcterms:modified xsi:type="dcterms:W3CDTF">2026-06-21T19:58:06Z</dcterms:modified>
</cp:coreProperties>
</file>